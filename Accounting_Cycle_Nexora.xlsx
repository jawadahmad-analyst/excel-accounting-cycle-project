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hart of Accounts" sheetId="2" state="visible" r:id="rId4"/>
    <sheet name="General Journal" sheetId="3" state="visible" r:id="rId5"/>
    <sheet name="Ledger" sheetId="4" state="visible" r:id="rId6"/>
    <sheet name="Trial Balance" sheetId="5" state="visible" r:id="rId7"/>
    <sheet name="Income Statement" sheetId="6" state="visible" r:id="rId8"/>
    <sheet name="Balance She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<sst xmlns="http://schemas.openxmlformats.org/spreadsheetml/2006/main" count="428" uniqueCount="168">
  <si>
    <t xml:space="preserve">NEXORA INDUSTRIES LIMITED</t>
  </si>
  <si>
    <t xml:space="preserve">Complete Accounting Cycle in Excel | Journal &gt; Ledger &gt; Trial Balance &gt; Income Statement &gt; Balance Sheet</t>
  </si>
  <si>
    <t xml:space="preserve">Financial year: 1 July 2025 to 30 June 2026 | Currency: PKR | Prepared by: Jawad Ahmad</t>
  </si>
  <si>
    <t xml:space="preserve">PROJECT SUMMARY</t>
  </si>
  <si>
    <t xml:space="preserve">A fully formula-driven bookkeeping model for a start-up trading company. Every figure in the ledger, trial balance and financial statements flows from the General Journal, so changing one entry updates the whole workbook. Built-in checks confirm that debits equal credits and that the balance sheet balances.</t>
  </si>
  <si>
    <t xml:space="preserve">KEY RESULTS (live from the statements)</t>
  </si>
  <si>
    <t xml:space="preserve">Sales Revenue</t>
  </si>
  <si>
    <t xml:space="preserve">Gross Profit</t>
  </si>
  <si>
    <t xml:space="preserve">Operating Profit</t>
  </si>
  <si>
    <t xml:space="preserve">Net Profit after Tax</t>
  </si>
  <si>
    <t xml:space="preserve">Total Assets</t>
  </si>
  <si>
    <t xml:space="preserve">Trial Balance check (0 = OK)</t>
  </si>
  <si>
    <t xml:space="preserve">Balance Sheet check (0 = OK)</t>
  </si>
  <si>
    <t xml:space="preserve">WORKBOOK GUIDE</t>
  </si>
  <si>
    <t xml:space="preserve">Chart of Accounts</t>
  </si>
  <si>
    <t xml:space="preserve">15 accounts with code, category, sub-category and financial-statement mapping</t>
  </si>
  <si>
    <t xml:space="preserve">General Journal</t>
  </si>
  <si>
    <t xml:space="preserve">All 14 double-entry journal entries (the only place with typed inputs)</t>
  </si>
  <si>
    <t xml:space="preserve">Ledger</t>
  </si>
  <si>
    <t xml:space="preserve">Every account with running balance, pulled from the journal by formula</t>
  </si>
  <si>
    <t xml:space="preserve">Trial Balance</t>
  </si>
  <si>
    <t xml:space="preserve">Totals and closing balances using SUMIF; confirms debits = credits</t>
  </si>
  <si>
    <t xml:space="preserve">Income Statement</t>
  </si>
  <si>
    <t xml:space="preserve">Revenue, gross profit, operating profit, tax and net profit</t>
  </si>
  <si>
    <t xml:space="preserve">Balance Sheet</t>
  </si>
  <si>
    <t xml:space="preserve">Assets vs liabilities + equity, with a balance check</t>
  </si>
  <si>
    <t xml:space="preserve">TRANSACTIONS RECORDED</t>
  </si>
  <si>
    <t xml:space="preserve">No.</t>
  </si>
  <si>
    <t xml:space="preserve">Date</t>
  </si>
  <si>
    <t xml:space="preserve">Transaction</t>
  </si>
  <si>
    <t xml:space="preserve">Amount (PKR)</t>
  </si>
  <si>
    <t xml:space="preserve">Started business with cash</t>
  </si>
  <si>
    <t xml:space="preserve">Deposited cash into bank</t>
  </si>
  <si>
    <t xml:space="preserve">Inventory purchased on credit from Mega Mart</t>
  </si>
  <si>
    <t xml:space="preserve">Inventory purchased from Multi Media (paid via bank - assumed)</t>
  </si>
  <si>
    <t xml:space="preserve">Inventory sold on credit to Mr. Rehman</t>
  </si>
  <si>
    <t xml:space="preserve">Inventory sold for cash</t>
  </si>
  <si>
    <t xml:space="preserve">Office expenses incurred</t>
  </si>
  <si>
    <t xml:space="preserve">Entertainment expenses incurred</t>
  </si>
  <si>
    <t xml:space="preserve">Computer purchased</t>
  </si>
  <si>
    <t xml:space="preserve">Salary paid</t>
  </si>
  <si>
    <t xml:space="preserve">Rent paid to Mr. Abbas</t>
  </si>
  <si>
    <t xml:space="preserve">Adjustment: cost of goods sold (290,000 + 200,000)</t>
  </si>
  <si>
    <t xml:space="preserve">Adjustment: income tax provision @ 30%</t>
  </si>
  <si>
    <t xml:space="preserve">ASSUMPTIONS</t>
  </si>
  <si>
    <t xml:space="preserve">Payment method was not stated for the Multi Media purchase, computer, office, entertainment, salary and rent; all assumed paid through the bank account.</t>
  </si>
  <si>
    <t xml:space="preserve">No depreciation is charged on computer equipment (simplified for this exercise).</t>
  </si>
  <si>
    <t xml:space="preserve">Income tax is 30% of operating profit, provided at year end and shown as payable to the government.</t>
  </si>
  <si>
    <t xml:space="preserve">Cost of goods sold of PKR 490,000 is recorded as two adjustment entries against inventory.</t>
  </si>
  <si>
    <t xml:space="preserve">Tools used: Microsoft Excel, SUMIF, data validation, absolute/relative references, formula-based checks.</t>
  </si>
  <si>
    <t xml:space="preserve">For the year ended 30 June 2026 | Amounts in PKR</t>
  </si>
  <si>
    <t xml:space="preserve">Code</t>
  </si>
  <si>
    <t xml:space="preserve">Account Name</t>
  </si>
  <si>
    <t xml:space="preserve">Category</t>
  </si>
  <si>
    <t xml:space="preserve">Sub-Category</t>
  </si>
  <si>
    <t xml:space="preserve">Financial Statement</t>
  </si>
  <si>
    <t xml:space="preserve">Normal Balance</t>
  </si>
  <si>
    <t xml:space="preserve">Cash in Hand</t>
  </si>
  <si>
    <t xml:space="preserve">Asset</t>
  </si>
  <si>
    <t xml:space="preserve">Current Assets</t>
  </si>
  <si>
    <t xml:space="preserve">Debit</t>
  </si>
  <si>
    <t xml:space="preserve">Bank</t>
  </si>
  <si>
    <t xml:space="preserve">Inventory</t>
  </si>
  <si>
    <t xml:space="preserve">Accounts Receivable - Mr. Rehman</t>
  </si>
  <si>
    <t xml:space="preserve">Computer Equipment</t>
  </si>
  <si>
    <t xml:space="preserve">Non-Current Assets</t>
  </si>
  <si>
    <t xml:space="preserve">Accounts Payable - Mega Mart</t>
  </si>
  <si>
    <t xml:space="preserve">Liability</t>
  </si>
  <si>
    <t xml:space="preserve">Current Liabilities</t>
  </si>
  <si>
    <t xml:space="preserve">Credit</t>
  </si>
  <si>
    <t xml:space="preserve">Income Tax Payable (Govt)</t>
  </si>
  <si>
    <t xml:space="preserve">Owner's Capital</t>
  </si>
  <si>
    <t xml:space="preserve">Equity</t>
  </si>
  <si>
    <t xml:space="preserve">Revenue</t>
  </si>
  <si>
    <t xml:space="preserve">Cost of Goods Sold</t>
  </si>
  <si>
    <t xml:space="preserve">Expense</t>
  </si>
  <si>
    <t xml:space="preserve">Cost of Sales</t>
  </si>
  <si>
    <t xml:space="preserve">Office Expenses</t>
  </si>
  <si>
    <t xml:space="preserve">Operating Expenses</t>
  </si>
  <si>
    <t xml:space="preserve">Entertainment Expenses</t>
  </si>
  <si>
    <t xml:space="preserve">Salary Expense</t>
  </si>
  <si>
    <t xml:space="preserve">Rent Expense</t>
  </si>
  <si>
    <t xml:space="preserve">Income Tax Expense</t>
  </si>
  <si>
    <t xml:space="preserve">Tax</t>
  </si>
  <si>
    <t xml:space="preserve">JE No.</t>
  </si>
  <si>
    <t xml:space="preserve">Description</t>
  </si>
  <si>
    <t xml:space="preserve">Account</t>
  </si>
  <si>
    <t xml:space="preserve">Narration</t>
  </si>
  <si>
    <t xml:space="preserve">JE-01</t>
  </si>
  <si>
    <t xml:space="preserve">Business started with cash</t>
  </si>
  <si>
    <t xml:space="preserve">Owner's capital introduced in cash</t>
  </si>
  <si>
    <t xml:space="preserve">JE-02</t>
  </si>
  <si>
    <t xml:space="preserve">Cash deposited into bank</t>
  </si>
  <si>
    <t xml:space="preserve">Cash moved from hand to bank account</t>
  </si>
  <si>
    <t xml:space="preserve">JE-03</t>
  </si>
  <si>
    <t xml:space="preserve">Inventory purchased on credit</t>
  </si>
  <si>
    <t xml:space="preserve">Goods bought from Mega Mart on credit</t>
  </si>
  <si>
    <t xml:space="preserve">JE-04</t>
  </si>
  <si>
    <t xml:space="preserve">Inventory purchased</t>
  </si>
  <si>
    <t xml:space="preserve">Goods bought from Multi Media (paid via bank - assumed)</t>
  </si>
  <si>
    <t xml:space="preserve">JE-05</t>
  </si>
  <si>
    <t xml:space="preserve">Inventory sold on credit</t>
  </si>
  <si>
    <t xml:space="preserve">Credit sale to Mr. Rehman</t>
  </si>
  <si>
    <t xml:space="preserve">JE-06</t>
  </si>
  <si>
    <t xml:space="preserve">Cash sale</t>
  </si>
  <si>
    <t xml:space="preserve">JE-07</t>
  </si>
  <si>
    <t xml:space="preserve">Cost of goods sold</t>
  </si>
  <si>
    <t xml:space="preserve">Cost of inventory sold (1 of 2)</t>
  </si>
  <si>
    <t xml:space="preserve">JE-08</t>
  </si>
  <si>
    <t xml:space="preserve">Cost of inventory sold (2 of 2)</t>
  </si>
  <si>
    <t xml:space="preserve">JE-09</t>
  </si>
  <si>
    <t xml:space="preserve">Office expenses paid via bank</t>
  </si>
  <si>
    <t xml:space="preserve">JE-10</t>
  </si>
  <si>
    <t xml:space="preserve">Entertainment expenses paid via bank</t>
  </si>
  <si>
    <t xml:space="preserve">JE-11</t>
  </si>
  <si>
    <t xml:space="preserve">Computer bought for business use (paid via bank)</t>
  </si>
  <si>
    <t xml:space="preserve">JE-12</t>
  </si>
  <si>
    <t xml:space="preserve">Salary paid via bank</t>
  </si>
  <si>
    <t xml:space="preserve">JE-13</t>
  </si>
  <si>
    <t xml:space="preserve">Rent paid via bank</t>
  </si>
  <si>
    <t xml:space="preserve">JE-14</t>
  </si>
  <si>
    <t xml:space="preserve">Income tax provision</t>
  </si>
  <si>
    <t xml:space="preserve">Year-end tax provision: 30% of operating profit (see Income Statement)</t>
  </si>
  <si>
    <t xml:space="preserve">Total</t>
  </si>
  <si>
    <t xml:space="preserve">Check (Debit - Credit, must be 0)</t>
  </si>
  <si>
    <t xml:space="preserve">Blue = typed input (source transactions). Black = formula. Credit lines always mirror the debit line above them.</t>
  </si>
  <si>
    <t xml:space="preserve">General Ledger (all accounts, running balance)</t>
  </si>
  <si>
    <t xml:space="preserve">1001  -  Cash in Hand</t>
  </si>
  <si>
    <t xml:space="preserve">Contra Account</t>
  </si>
  <si>
    <t xml:space="preserve">Balance</t>
  </si>
  <si>
    <t xml:space="preserve">Closing balance</t>
  </si>
  <si>
    <t xml:space="preserve">1002  -  Bank</t>
  </si>
  <si>
    <t xml:space="preserve">1003  -  Inventory</t>
  </si>
  <si>
    <t xml:space="preserve">1004  -  Accounts Receivable - Mr. Rehman</t>
  </si>
  <si>
    <t xml:space="preserve">1101  -  Computer Equipment</t>
  </si>
  <si>
    <t xml:space="preserve">2001  -  Accounts Payable - Mega Mart</t>
  </si>
  <si>
    <t xml:space="preserve">2002  -  Income Tax Payable (Govt)</t>
  </si>
  <si>
    <t xml:space="preserve">3001  -  Owner's Capital</t>
  </si>
  <si>
    <t xml:space="preserve">4001  -  Sales Revenue</t>
  </si>
  <si>
    <t xml:space="preserve">5001  -  Cost of Goods Sold</t>
  </si>
  <si>
    <t xml:space="preserve">5002  -  Office Expenses</t>
  </si>
  <si>
    <t xml:space="preserve">5003  -  Entertainment Expenses</t>
  </si>
  <si>
    <t xml:space="preserve">5004  -  Salary Expense</t>
  </si>
  <si>
    <t xml:space="preserve">5005  -  Rent Expense</t>
  </si>
  <si>
    <t xml:space="preserve">5006  -  Income Tax Expense</t>
  </si>
  <si>
    <t xml:space="preserve">Total Debit</t>
  </si>
  <si>
    <t xml:space="preserve">Total Credit</t>
  </si>
  <si>
    <t xml:space="preserve">Debit Balance</t>
  </si>
  <si>
    <t xml:space="preserve">Credit Balance</t>
  </si>
  <si>
    <t xml:space="preserve">Check (Debit Balance - Credit Balance, must be 0)</t>
  </si>
  <si>
    <t xml:space="preserve">Particulars</t>
  </si>
  <si>
    <t xml:space="preserve">PKR</t>
  </si>
  <si>
    <t xml:space="preserve">Total Operating Expenses</t>
  </si>
  <si>
    <t xml:space="preserve">Operating Profit (Profit before Tax)</t>
  </si>
  <si>
    <t xml:space="preserve">Income Tax Expense @</t>
  </si>
  <si>
    <t xml:space="preserve">Net Profit for the Year</t>
  </si>
  <si>
    <t xml:space="preserve">Check: tax in journal vs tax computed here (must be 0)</t>
  </si>
  <si>
    <t xml:space="preserve">Yellow cell = tax-rate assumption (30%). Parentheses = deduction.</t>
  </si>
  <si>
    <t xml:space="preserve">As at 30 June 2026 | Amounts in PKR</t>
  </si>
  <si>
    <t xml:space="preserve">ASSETS</t>
  </si>
  <si>
    <t xml:space="preserve">Total Non-Current Assets</t>
  </si>
  <si>
    <t xml:space="preserve">Total Current Assets</t>
  </si>
  <si>
    <t xml:space="preserve">TOTAL ASSETS</t>
  </si>
  <si>
    <t xml:space="preserve">LIABILITIES AND EQUITY</t>
  </si>
  <si>
    <t xml:space="preserve">Total Current Liabilities</t>
  </si>
  <si>
    <t xml:space="preserve">Total Equity</t>
  </si>
  <si>
    <t xml:space="preserve">TOTAL LIABILITIES AND EQUITY</t>
  </si>
  <si>
    <t xml:space="preserve">Balance check (Assets - Liabilities &amp; Equity, must be 0)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</si>
</sst>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dd\-mmm\-yyyy"/>
    <numFmt numFmtId="167" formatCode="#,##0&quot; Dr&quot;;#,##0&quot; Cr&quot;;\-"/>
    <numFmt numFmtId="168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 style="double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3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3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62"/>
    <col collapsed="false" customWidth="true" hidden="false" outlineLevel="0" max="5" min="5" style="0" width="18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  <c r="D6" s="5"/>
      <c r="E6" s="5"/>
    </row>
    <row r="7" customFormat="false" ht="55.5" hidden="false" customHeight="true" outlineLevel="0" collapsed="false">
      <c r="B7" s="6" t="s">
        <v>4</v>
      </c>
      <c r="C7" s="6"/>
      <c r="D7" s="6"/>
      <c r="E7" s="6"/>
    </row>
    <row r="9" customFormat="false" ht="15" hidden="false" customHeight="false" outlineLevel="0" collapsed="false">
      <c r="B9" s="4" t="s">
        <v>5</v>
      </c>
      <c r="C9" s="5"/>
      <c r="D9" s="5"/>
      <c r="E9" s="5"/>
    </row>
    <row r="10" customFormat="false" ht="15" hidden="false" customHeight="false" outlineLevel="0" collapsed="false">
      <c r="C10" s="7" t="s">
        <v>6</v>
      </c>
      <c r="D10" s="7"/>
      <c r="E10" s="8" t="n">
        <f aca="false">'Income Statement'!D6</f>
        <v>1225000</v>
      </c>
    </row>
    <row r="11" customFormat="false" ht="15" hidden="false" customHeight="false" outlineLevel="0" collapsed="false">
      <c r="C11" s="7" t="s">
        <v>7</v>
      </c>
      <c r="D11" s="7"/>
      <c r="E11" s="8" t="n">
        <f aca="false">'Income Statement'!D8</f>
        <v>735000</v>
      </c>
    </row>
    <row r="12" customFormat="false" ht="15" hidden="false" customHeight="false" outlineLevel="0" collapsed="false">
      <c r="C12" s="7" t="s">
        <v>8</v>
      </c>
      <c r="D12" s="7"/>
      <c r="E12" s="8" t="n">
        <f aca="false">'Income Statement'!D16</f>
        <v>475000</v>
      </c>
    </row>
    <row r="13" customFormat="false" ht="15" hidden="false" customHeight="false" outlineLevel="0" collapsed="false">
      <c r="C13" s="7" t="s">
        <v>9</v>
      </c>
      <c r="D13" s="7"/>
      <c r="E13" s="8" t="n">
        <f aca="false">'Income Statement'!D18</f>
        <v>332500</v>
      </c>
    </row>
    <row r="14" customFormat="false" ht="15" hidden="false" customHeight="false" outlineLevel="0" collapsed="false">
      <c r="C14" s="7" t="s">
        <v>10</v>
      </c>
      <c r="D14" s="7"/>
      <c r="E14" s="8" t="n">
        <f aca="false">'Balance Sheet'!D16</f>
        <v>6225000</v>
      </c>
    </row>
    <row r="15" customFormat="false" ht="15" hidden="false" customHeight="false" outlineLevel="0" collapsed="false">
      <c r="C15" s="7" t="s">
        <v>11</v>
      </c>
      <c r="D15" s="7"/>
      <c r="E15" s="8" t="n">
        <f aca="false">'Trial Balance'!H22</f>
        <v>0</v>
      </c>
    </row>
    <row r="16" customFormat="false" ht="15" hidden="false" customHeight="false" outlineLevel="0" collapsed="false">
      <c r="C16" s="7" t="s">
        <v>12</v>
      </c>
      <c r="D16" s="7"/>
      <c r="E16" s="8" t="n">
        <f aca="false">'Balance Sheet'!D29</f>
        <v>0</v>
      </c>
    </row>
    <row r="18" customFormat="false" ht="15" hidden="false" customHeight="false" outlineLevel="0" collapsed="false">
      <c r="B18" s="4" t="s">
        <v>13</v>
      </c>
      <c r="C18" s="5"/>
      <c r="D18" s="5"/>
      <c r="E18" s="5"/>
    </row>
    <row r="19" customFormat="false" ht="15" hidden="false" customHeight="false" outlineLevel="0" collapsed="false">
      <c r="B19" s="9" t="n">
        <v>1</v>
      </c>
      <c r="C19" s="10" t="s">
        <v>14</v>
      </c>
      <c r="D19" s="7" t="s">
        <v>15</v>
      </c>
      <c r="E19" s="7"/>
    </row>
    <row r="20" customFormat="false" ht="15" hidden="false" customHeight="false" outlineLevel="0" collapsed="false">
      <c r="B20" s="9" t="n">
        <v>2</v>
      </c>
      <c r="C20" s="10" t="s">
        <v>16</v>
      </c>
      <c r="D20" s="7" t="s">
        <v>17</v>
      </c>
      <c r="E20" s="7"/>
    </row>
    <row r="21" customFormat="false" ht="15" hidden="false" customHeight="false" outlineLevel="0" collapsed="false">
      <c r="B21" s="9" t="n">
        <v>3</v>
      </c>
      <c r="C21" s="10" t="s">
        <v>18</v>
      </c>
      <c r="D21" s="7" t="s">
        <v>19</v>
      </c>
      <c r="E21" s="7"/>
    </row>
    <row r="22" customFormat="false" ht="15" hidden="false" customHeight="false" outlineLevel="0" collapsed="false">
      <c r="B22" s="9" t="n">
        <v>4</v>
      </c>
      <c r="C22" s="10" t="s">
        <v>20</v>
      </c>
      <c r="D22" s="7" t="s">
        <v>21</v>
      </c>
      <c r="E22" s="7"/>
    </row>
    <row r="23" customFormat="false" ht="15" hidden="false" customHeight="false" outlineLevel="0" collapsed="false">
      <c r="B23" s="9" t="n">
        <v>5</v>
      </c>
      <c r="C23" s="10" t="s">
        <v>22</v>
      </c>
      <c r="D23" s="7" t="s">
        <v>23</v>
      </c>
      <c r="E23" s="7"/>
    </row>
    <row r="24" customFormat="false" ht="15" hidden="false" customHeight="false" outlineLevel="0" collapsed="false">
      <c r="B24" s="9" t="n">
        <v>6</v>
      </c>
      <c r="C24" s="10" t="s">
        <v>24</v>
      </c>
      <c r="D24" s="7" t="s">
        <v>25</v>
      </c>
      <c r="E24" s="7"/>
    </row>
    <row r="26" customFormat="false" ht="15" hidden="false" customHeight="false" outlineLevel="0" collapsed="false">
      <c r="B26" s="4" t="s">
        <v>26</v>
      </c>
      <c r="C26" s="5"/>
      <c r="D26" s="5"/>
      <c r="E26" s="5"/>
    </row>
    <row r="27" customFormat="false" ht="21.75" hidden="false" customHeight="true" outlineLevel="0" collapsed="false">
      <c r="B27" s="11" t="s">
        <v>27</v>
      </c>
      <c r="C27" s="11" t="s">
        <v>28</v>
      </c>
      <c r="D27" s="11" t="s">
        <v>29</v>
      </c>
      <c r="E27" s="11" t="s">
        <v>30</v>
      </c>
    </row>
    <row r="28" customFormat="false" ht="15" hidden="false" customHeight="false" outlineLevel="0" collapsed="false">
      <c r="B28" s="9" t="n">
        <v>1</v>
      </c>
      <c r="C28" s="12" t="n">
        <v>45839</v>
      </c>
      <c r="D28" s="7" t="s">
        <v>31</v>
      </c>
      <c r="E28" s="13" t="n">
        <v>5000000</v>
      </c>
    </row>
    <row r="29" customFormat="false" ht="15" hidden="false" customHeight="false" outlineLevel="0" collapsed="false">
      <c r="B29" s="9" t="n">
        <v>2</v>
      </c>
      <c r="C29" s="12" t="n">
        <v>45840</v>
      </c>
      <c r="D29" s="7" t="s">
        <v>32</v>
      </c>
      <c r="E29" s="13" t="n">
        <v>1500000</v>
      </c>
    </row>
    <row r="30" customFormat="false" ht="15" hidden="false" customHeight="false" outlineLevel="0" collapsed="false">
      <c r="B30" s="9" t="n">
        <v>3</v>
      </c>
      <c r="C30" s="12" t="n">
        <v>45843</v>
      </c>
      <c r="D30" s="7" t="s">
        <v>33</v>
      </c>
      <c r="E30" s="13" t="n">
        <v>750000</v>
      </c>
    </row>
    <row r="31" customFormat="false" ht="15" hidden="false" customHeight="false" outlineLevel="0" collapsed="false">
      <c r="B31" s="9" t="n">
        <v>4</v>
      </c>
      <c r="C31" s="12" t="n">
        <v>45845</v>
      </c>
      <c r="D31" s="7" t="s">
        <v>34</v>
      </c>
      <c r="E31" s="13" t="n">
        <v>500000</v>
      </c>
    </row>
    <row r="32" customFormat="false" ht="15" hidden="false" customHeight="false" outlineLevel="0" collapsed="false">
      <c r="B32" s="9" t="n">
        <v>5</v>
      </c>
      <c r="C32" s="12" t="n">
        <v>45848</v>
      </c>
      <c r="D32" s="7" t="s">
        <v>35</v>
      </c>
      <c r="E32" s="13" t="n">
        <v>800000</v>
      </c>
    </row>
    <row r="33" customFormat="false" ht="15" hidden="false" customHeight="false" outlineLevel="0" collapsed="false">
      <c r="B33" s="9" t="n">
        <v>6</v>
      </c>
      <c r="C33" s="12" t="n">
        <v>45852</v>
      </c>
      <c r="D33" s="7" t="s">
        <v>36</v>
      </c>
      <c r="E33" s="13" t="n">
        <v>425000</v>
      </c>
    </row>
    <row r="34" customFormat="false" ht="15" hidden="false" customHeight="false" outlineLevel="0" collapsed="false">
      <c r="B34" s="9" t="n">
        <v>7</v>
      </c>
      <c r="C34" s="12" t="n">
        <v>45854</v>
      </c>
      <c r="D34" s="7" t="s">
        <v>37</v>
      </c>
      <c r="E34" s="13" t="n">
        <v>45000</v>
      </c>
    </row>
    <row r="35" customFormat="false" ht="15" hidden="false" customHeight="false" outlineLevel="0" collapsed="false">
      <c r="B35" s="9" t="n">
        <v>8</v>
      </c>
      <c r="C35" s="12" t="n">
        <v>45856</v>
      </c>
      <c r="D35" s="7" t="s">
        <v>38</v>
      </c>
      <c r="E35" s="13" t="n">
        <v>70000</v>
      </c>
    </row>
    <row r="36" customFormat="false" ht="15" hidden="false" customHeight="false" outlineLevel="0" collapsed="false">
      <c r="B36" s="9" t="n">
        <v>9</v>
      </c>
      <c r="C36" s="12" t="n">
        <v>45865</v>
      </c>
      <c r="D36" s="7" t="s">
        <v>39</v>
      </c>
      <c r="E36" s="13" t="n">
        <v>250000</v>
      </c>
    </row>
    <row r="37" customFormat="false" ht="15" hidden="false" customHeight="false" outlineLevel="0" collapsed="false">
      <c r="B37" s="9" t="n">
        <v>10</v>
      </c>
      <c r="C37" s="12" t="n">
        <v>45870</v>
      </c>
      <c r="D37" s="7" t="s">
        <v>40</v>
      </c>
      <c r="E37" s="13" t="n">
        <v>110000</v>
      </c>
    </row>
    <row r="38" customFormat="false" ht="15" hidden="false" customHeight="false" outlineLevel="0" collapsed="false">
      <c r="B38" s="9" t="n">
        <v>11</v>
      </c>
      <c r="C38" s="12" t="n">
        <v>45871</v>
      </c>
      <c r="D38" s="7" t="s">
        <v>41</v>
      </c>
      <c r="E38" s="13" t="n">
        <v>35000</v>
      </c>
    </row>
    <row r="39" customFormat="false" ht="15" hidden="false" customHeight="false" outlineLevel="0" collapsed="false">
      <c r="B39" s="9" t="n">
        <v>12</v>
      </c>
      <c r="C39" s="12" t="n">
        <v>45853</v>
      </c>
      <c r="D39" s="7" t="s">
        <v>42</v>
      </c>
      <c r="E39" s="13" t="n">
        <v>490000</v>
      </c>
    </row>
    <row r="40" customFormat="false" ht="15" hidden="false" customHeight="false" outlineLevel="0" collapsed="false">
      <c r="B40" s="9" t="n">
        <v>13</v>
      </c>
      <c r="C40" s="12" t="n">
        <v>46203</v>
      </c>
      <c r="D40" s="7" t="s">
        <v>43</v>
      </c>
      <c r="E40" s="13" t="n">
        <v>142500</v>
      </c>
    </row>
    <row r="42" customFormat="false" ht="15" hidden="false" customHeight="false" outlineLevel="0" collapsed="false">
      <c r="B42" s="4" t="s">
        <v>44</v>
      </c>
      <c r="C42" s="5"/>
      <c r="D42" s="5"/>
      <c r="E42" s="5"/>
    </row>
    <row r="43" customFormat="false" ht="30" hidden="false" customHeight="true" outlineLevel="0" collapsed="false">
      <c r="B43" s="14" t="n">
        <v>1</v>
      </c>
      <c r="C43" s="6" t="s">
        <v>45</v>
      </c>
      <c r="D43" s="6"/>
      <c r="E43" s="6"/>
    </row>
    <row r="44" customFormat="false" ht="30" hidden="false" customHeight="true" outlineLevel="0" collapsed="false">
      <c r="B44" s="14" t="n">
        <v>2</v>
      </c>
      <c r="C44" s="6" t="s">
        <v>46</v>
      </c>
      <c r="D44" s="6"/>
      <c r="E44" s="6"/>
    </row>
    <row r="45" customFormat="false" ht="30" hidden="false" customHeight="true" outlineLevel="0" collapsed="false">
      <c r="B45" s="14" t="n">
        <v>3</v>
      </c>
      <c r="C45" s="6" t="s">
        <v>47</v>
      </c>
      <c r="D45" s="6"/>
      <c r="E45" s="6"/>
    </row>
    <row r="46" customFormat="false" ht="30" hidden="false" customHeight="true" outlineLevel="0" collapsed="false">
      <c r="B46" s="14" t="n">
        <v>4</v>
      </c>
      <c r="C46" s="6" t="s">
        <v>48</v>
      </c>
      <c r="D46" s="6"/>
      <c r="E46" s="6"/>
    </row>
    <row r="47" customFormat="false" ht="30" hidden="false" customHeight="true" outlineLevel="0" collapsed="false">
      <c r="B47" s="14" t="n">
        <v>5</v>
      </c>
      <c r="C47" s="6" t="s">
        <v>49</v>
      </c>
      <c r="D47" s="6"/>
      <c r="E47" s="6"/>
    </row>
  </sheetData>
  <mergeCells count="19">
    <mergeCell ref="B7:E7"/>
    <mergeCell ref="C10:D10"/>
    <mergeCell ref="C11:D11"/>
    <mergeCell ref="C12:D12"/>
    <mergeCell ref="C13:D13"/>
    <mergeCell ref="C14:D14"/>
    <mergeCell ref="C15:D15"/>
    <mergeCell ref="C16:D16"/>
    <mergeCell ref="D19:E19"/>
    <mergeCell ref="D20:E20"/>
    <mergeCell ref="D21:E21"/>
    <mergeCell ref="D22:E22"/>
    <mergeCell ref="D23:E23"/>
    <mergeCell ref="D24:E24"/>
    <mergeCell ref="C43:E43"/>
    <mergeCell ref="C44:E44"/>
    <mergeCell ref="C45:E45"/>
    <mergeCell ref="C46:E46"/>
    <mergeCell ref="C47:E47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B1" s="15" t="s">
        <v>0</v>
      </c>
      <c r="C1" s="15"/>
      <c r="D1" s="15"/>
      <c r="E1" s="15"/>
      <c r="F1" s="15"/>
      <c r="G1" s="15"/>
    </row>
    <row r="2" customFormat="false" ht="15" hidden="false" customHeight="false" outlineLevel="0" collapsed="false">
      <c r="B2" s="16" t="s">
        <v>14</v>
      </c>
      <c r="C2" s="16"/>
      <c r="D2" s="16"/>
      <c r="E2" s="16"/>
      <c r="F2" s="16"/>
      <c r="G2" s="16"/>
    </row>
    <row r="3" customFormat="false" ht="15" hidden="false" customHeight="false" outlineLevel="0" collapsed="false">
      <c r="B3" s="17" t="s">
        <v>50</v>
      </c>
      <c r="C3" s="17"/>
      <c r="D3" s="17"/>
      <c r="E3" s="17"/>
      <c r="F3" s="17"/>
      <c r="G3" s="17"/>
    </row>
    <row r="5" customFormat="false" ht="21.75" hidden="false" customHeight="true" outlineLevel="0" collapsed="false">
      <c r="B5" s="11" t="s">
        <v>51</v>
      </c>
      <c r="C5" s="11" t="s">
        <v>52</v>
      </c>
      <c r="D5" s="11" t="s">
        <v>53</v>
      </c>
      <c r="E5" s="11" t="s">
        <v>54</v>
      </c>
      <c r="F5" s="11" t="s">
        <v>55</v>
      </c>
      <c r="G5" s="11" t="s">
        <v>56</v>
      </c>
    </row>
    <row r="6" customFormat="false" ht="15" hidden="false" customHeight="false" outlineLevel="0" collapsed="false">
      <c r="B6" s="9" t="n">
        <v>1001</v>
      </c>
      <c r="C6" s="18" t="s">
        <v>57</v>
      </c>
      <c r="D6" s="9" t="s">
        <v>58</v>
      </c>
      <c r="E6" s="9" t="s">
        <v>59</v>
      </c>
      <c r="F6" s="9" t="s">
        <v>24</v>
      </c>
      <c r="G6" s="9" t="s">
        <v>60</v>
      </c>
    </row>
    <row r="7" customFormat="false" ht="15" hidden="false" customHeight="false" outlineLevel="0" collapsed="false">
      <c r="B7" s="9" t="n">
        <v>1002</v>
      </c>
      <c r="C7" s="18" t="s">
        <v>61</v>
      </c>
      <c r="D7" s="9" t="s">
        <v>58</v>
      </c>
      <c r="E7" s="9" t="s">
        <v>59</v>
      </c>
      <c r="F7" s="9" t="s">
        <v>24</v>
      </c>
      <c r="G7" s="9" t="s">
        <v>60</v>
      </c>
    </row>
    <row r="8" customFormat="false" ht="15" hidden="false" customHeight="false" outlineLevel="0" collapsed="false">
      <c r="B8" s="9" t="n">
        <v>1003</v>
      </c>
      <c r="C8" s="18" t="s">
        <v>62</v>
      </c>
      <c r="D8" s="9" t="s">
        <v>58</v>
      </c>
      <c r="E8" s="9" t="s">
        <v>59</v>
      </c>
      <c r="F8" s="9" t="s">
        <v>24</v>
      </c>
      <c r="G8" s="9" t="s">
        <v>60</v>
      </c>
    </row>
    <row r="9" customFormat="false" ht="15" hidden="false" customHeight="false" outlineLevel="0" collapsed="false">
      <c r="B9" s="9" t="n">
        <v>1004</v>
      </c>
      <c r="C9" s="18" t="s">
        <v>63</v>
      </c>
      <c r="D9" s="9" t="s">
        <v>58</v>
      </c>
      <c r="E9" s="9" t="s">
        <v>59</v>
      </c>
      <c r="F9" s="9" t="s">
        <v>24</v>
      </c>
      <c r="G9" s="9" t="s">
        <v>60</v>
      </c>
    </row>
    <row r="10" customFormat="false" ht="15" hidden="false" customHeight="false" outlineLevel="0" collapsed="false">
      <c r="B10" s="9" t="n">
        <v>1101</v>
      </c>
      <c r="C10" s="18" t="s">
        <v>64</v>
      </c>
      <c r="D10" s="9" t="s">
        <v>58</v>
      </c>
      <c r="E10" s="9" t="s">
        <v>65</v>
      </c>
      <c r="F10" s="9" t="s">
        <v>24</v>
      </c>
      <c r="G10" s="9" t="s">
        <v>60</v>
      </c>
    </row>
    <row r="11" customFormat="false" ht="15" hidden="false" customHeight="false" outlineLevel="0" collapsed="false">
      <c r="B11" s="9" t="n">
        <v>2001</v>
      </c>
      <c r="C11" s="18" t="s">
        <v>66</v>
      </c>
      <c r="D11" s="9" t="s">
        <v>67</v>
      </c>
      <c r="E11" s="9" t="s">
        <v>68</v>
      </c>
      <c r="F11" s="9" t="s">
        <v>24</v>
      </c>
      <c r="G11" s="9" t="s">
        <v>69</v>
      </c>
    </row>
    <row r="12" customFormat="false" ht="15" hidden="false" customHeight="false" outlineLevel="0" collapsed="false">
      <c r="B12" s="9" t="n">
        <v>2002</v>
      </c>
      <c r="C12" s="18" t="s">
        <v>70</v>
      </c>
      <c r="D12" s="9" t="s">
        <v>67</v>
      </c>
      <c r="E12" s="9" t="s">
        <v>68</v>
      </c>
      <c r="F12" s="9" t="s">
        <v>24</v>
      </c>
      <c r="G12" s="9" t="s">
        <v>69</v>
      </c>
    </row>
    <row r="13" customFormat="false" ht="15" hidden="false" customHeight="false" outlineLevel="0" collapsed="false">
      <c r="B13" s="9" t="n">
        <v>3001</v>
      </c>
      <c r="C13" s="18" t="s">
        <v>71</v>
      </c>
      <c r="D13" s="9" t="s">
        <v>72</v>
      </c>
      <c r="E13" s="9" t="s">
        <v>72</v>
      </c>
      <c r="F13" s="9" t="s">
        <v>24</v>
      </c>
      <c r="G13" s="9" t="s">
        <v>69</v>
      </c>
    </row>
    <row r="14" customFormat="false" ht="15" hidden="false" customHeight="false" outlineLevel="0" collapsed="false">
      <c r="B14" s="9" t="n">
        <v>4001</v>
      </c>
      <c r="C14" s="18" t="s">
        <v>6</v>
      </c>
      <c r="D14" s="9" t="s">
        <v>73</v>
      </c>
      <c r="E14" s="9" t="s">
        <v>73</v>
      </c>
      <c r="F14" s="9" t="s">
        <v>22</v>
      </c>
      <c r="G14" s="9" t="s">
        <v>69</v>
      </c>
    </row>
    <row r="15" customFormat="false" ht="15" hidden="false" customHeight="false" outlineLevel="0" collapsed="false">
      <c r="B15" s="9" t="n">
        <v>5001</v>
      </c>
      <c r="C15" s="18" t="s">
        <v>74</v>
      </c>
      <c r="D15" s="9" t="s">
        <v>75</v>
      </c>
      <c r="E15" s="9" t="s">
        <v>76</v>
      </c>
      <c r="F15" s="9" t="s">
        <v>22</v>
      </c>
      <c r="G15" s="9" t="s">
        <v>60</v>
      </c>
    </row>
    <row r="16" customFormat="false" ht="15" hidden="false" customHeight="false" outlineLevel="0" collapsed="false">
      <c r="B16" s="9" t="n">
        <v>5002</v>
      </c>
      <c r="C16" s="18" t="s">
        <v>77</v>
      </c>
      <c r="D16" s="9" t="s">
        <v>75</v>
      </c>
      <c r="E16" s="9" t="s">
        <v>78</v>
      </c>
      <c r="F16" s="9" t="s">
        <v>22</v>
      </c>
      <c r="G16" s="9" t="s">
        <v>60</v>
      </c>
    </row>
    <row r="17" customFormat="false" ht="15" hidden="false" customHeight="false" outlineLevel="0" collapsed="false">
      <c r="B17" s="9" t="n">
        <v>5003</v>
      </c>
      <c r="C17" s="18" t="s">
        <v>79</v>
      </c>
      <c r="D17" s="9" t="s">
        <v>75</v>
      </c>
      <c r="E17" s="9" t="s">
        <v>78</v>
      </c>
      <c r="F17" s="9" t="s">
        <v>22</v>
      </c>
      <c r="G17" s="9" t="s">
        <v>60</v>
      </c>
    </row>
    <row r="18" customFormat="false" ht="15" hidden="false" customHeight="false" outlineLevel="0" collapsed="false">
      <c r="B18" s="9" t="n">
        <v>5004</v>
      </c>
      <c r="C18" s="18" t="s">
        <v>80</v>
      </c>
      <c r="D18" s="9" t="s">
        <v>75</v>
      </c>
      <c r="E18" s="9" t="s">
        <v>78</v>
      </c>
      <c r="F18" s="9" t="s">
        <v>22</v>
      </c>
      <c r="G18" s="9" t="s">
        <v>60</v>
      </c>
    </row>
    <row r="19" customFormat="false" ht="15" hidden="false" customHeight="false" outlineLevel="0" collapsed="false">
      <c r="B19" s="9" t="n">
        <v>5005</v>
      </c>
      <c r="C19" s="18" t="s">
        <v>81</v>
      </c>
      <c r="D19" s="9" t="s">
        <v>75</v>
      </c>
      <c r="E19" s="9" t="s">
        <v>78</v>
      </c>
      <c r="F19" s="9" t="s">
        <v>22</v>
      </c>
      <c r="G19" s="9" t="s">
        <v>60</v>
      </c>
    </row>
    <row r="20" customFormat="false" ht="15" hidden="false" customHeight="false" outlineLevel="0" collapsed="false">
      <c r="B20" s="9" t="n">
        <v>5006</v>
      </c>
      <c r="C20" s="18" t="s">
        <v>82</v>
      </c>
      <c r="D20" s="9" t="s">
        <v>75</v>
      </c>
      <c r="E20" s="9" t="s">
        <v>83</v>
      </c>
      <c r="F20" s="9" t="s">
        <v>22</v>
      </c>
      <c r="G20" s="9" t="s">
        <v>60</v>
      </c>
    </row>
  </sheetData>
  <mergeCells count="3">
    <mergeCell ref="B1:G1"/>
    <mergeCell ref="B2:G2"/>
    <mergeCell ref="B3:G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31"/>
    <col collapsed="false" customWidth="true" hidden="false" outlineLevel="0" max="5" min="5" style="0" width="34"/>
    <col collapsed="false" customWidth="true" hidden="false" outlineLevel="0" max="7" min="6" style="0" width="13"/>
    <col collapsed="false" customWidth="true" hidden="false" outlineLevel="0" max="8" min="8" style="0" width="58"/>
  </cols>
  <sheetData>
    <row r="1" customFormat="false" ht="17.35" hidden="false" customHeight="false" outlineLevel="0" collapsed="false">
      <c r="B1" s="15" t="s">
        <v>0</v>
      </c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B2" s="16" t="s">
        <v>16</v>
      </c>
      <c r="C2" s="16"/>
      <c r="D2" s="16"/>
      <c r="E2" s="16"/>
      <c r="F2" s="16"/>
      <c r="G2" s="16"/>
      <c r="H2" s="16"/>
    </row>
    <row r="3" customFormat="false" ht="15" hidden="false" customHeight="false" outlineLevel="0" collapsed="false">
      <c r="B3" s="17" t="s">
        <v>50</v>
      </c>
      <c r="C3" s="17"/>
      <c r="D3" s="17"/>
      <c r="E3" s="17"/>
      <c r="F3" s="17"/>
      <c r="G3" s="17"/>
      <c r="H3" s="17"/>
    </row>
    <row r="5" customFormat="false" ht="21.75" hidden="false" customHeight="true" outlineLevel="0" collapsed="false">
      <c r="B5" s="11" t="s">
        <v>84</v>
      </c>
      <c r="C5" s="11" t="s">
        <v>28</v>
      </c>
      <c r="D5" s="11" t="s">
        <v>85</v>
      </c>
      <c r="E5" s="11" t="s">
        <v>86</v>
      </c>
      <c r="F5" s="11" t="s">
        <v>60</v>
      </c>
      <c r="G5" s="11" t="s">
        <v>69</v>
      </c>
      <c r="H5" s="11" t="s">
        <v>87</v>
      </c>
    </row>
    <row r="6" customFormat="false" ht="15" hidden="false" customHeight="false" outlineLevel="0" collapsed="false">
      <c r="B6" s="7" t="s">
        <v>88</v>
      </c>
      <c r="C6" s="19" t="n">
        <v>45839</v>
      </c>
      <c r="D6" s="7" t="s">
        <v>89</v>
      </c>
      <c r="E6" s="7" t="s">
        <v>57</v>
      </c>
      <c r="F6" s="20" t="n">
        <v>5000000</v>
      </c>
      <c r="G6" s="21"/>
      <c r="H6" s="22" t="s">
        <v>90</v>
      </c>
    </row>
    <row r="7" customFormat="false" ht="15" hidden="false" customHeight="false" outlineLevel="0" collapsed="false">
      <c r="B7" s="7" t="s">
        <v>88</v>
      </c>
      <c r="C7" s="19" t="n">
        <v>45839</v>
      </c>
      <c r="D7" s="7" t="s">
        <v>89</v>
      </c>
      <c r="E7" s="23" t="s">
        <v>71</v>
      </c>
      <c r="F7" s="21"/>
      <c r="G7" s="13" t="n">
        <f aca="false">F6</f>
        <v>5000000</v>
      </c>
      <c r="H7" s="21"/>
    </row>
    <row r="8" customFormat="false" ht="15" hidden="false" customHeight="false" outlineLevel="0" collapsed="false">
      <c r="B8" s="24" t="s">
        <v>91</v>
      </c>
      <c r="C8" s="25" t="n">
        <v>45840</v>
      </c>
      <c r="D8" s="24" t="s">
        <v>92</v>
      </c>
      <c r="E8" s="24" t="s">
        <v>61</v>
      </c>
      <c r="F8" s="26" t="n">
        <v>1500000</v>
      </c>
      <c r="G8" s="27"/>
      <c r="H8" s="28" t="s">
        <v>93</v>
      </c>
    </row>
    <row r="9" customFormat="false" ht="15" hidden="false" customHeight="false" outlineLevel="0" collapsed="false">
      <c r="B9" s="24" t="s">
        <v>91</v>
      </c>
      <c r="C9" s="25" t="n">
        <v>45840</v>
      </c>
      <c r="D9" s="24" t="s">
        <v>92</v>
      </c>
      <c r="E9" s="29" t="s">
        <v>57</v>
      </c>
      <c r="F9" s="27"/>
      <c r="G9" s="30" t="n">
        <f aca="false">F8</f>
        <v>1500000</v>
      </c>
      <c r="H9" s="27"/>
    </row>
    <row r="10" customFormat="false" ht="15" hidden="false" customHeight="false" outlineLevel="0" collapsed="false">
      <c r="B10" s="7" t="s">
        <v>94</v>
      </c>
      <c r="C10" s="19" t="n">
        <v>45843</v>
      </c>
      <c r="D10" s="7" t="s">
        <v>95</v>
      </c>
      <c r="E10" s="7" t="s">
        <v>62</v>
      </c>
      <c r="F10" s="20" t="n">
        <v>750000</v>
      </c>
      <c r="G10" s="21"/>
      <c r="H10" s="22" t="s">
        <v>96</v>
      </c>
    </row>
    <row r="11" customFormat="false" ht="15" hidden="false" customHeight="false" outlineLevel="0" collapsed="false">
      <c r="B11" s="7" t="s">
        <v>94</v>
      </c>
      <c r="C11" s="19" t="n">
        <v>45843</v>
      </c>
      <c r="D11" s="7" t="s">
        <v>95</v>
      </c>
      <c r="E11" s="23" t="s">
        <v>66</v>
      </c>
      <c r="F11" s="21"/>
      <c r="G11" s="13" t="n">
        <f aca="false">F10</f>
        <v>750000</v>
      </c>
      <c r="H11" s="21"/>
    </row>
    <row r="12" customFormat="false" ht="15" hidden="false" customHeight="false" outlineLevel="0" collapsed="false">
      <c r="B12" s="24" t="s">
        <v>97</v>
      </c>
      <c r="C12" s="25" t="n">
        <v>45845</v>
      </c>
      <c r="D12" s="24" t="s">
        <v>98</v>
      </c>
      <c r="E12" s="24" t="s">
        <v>62</v>
      </c>
      <c r="F12" s="26" t="n">
        <v>500000</v>
      </c>
      <c r="G12" s="27"/>
      <c r="H12" s="28" t="s">
        <v>99</v>
      </c>
    </row>
    <row r="13" customFormat="false" ht="15" hidden="false" customHeight="false" outlineLevel="0" collapsed="false">
      <c r="B13" s="24" t="s">
        <v>97</v>
      </c>
      <c r="C13" s="25" t="n">
        <v>45845</v>
      </c>
      <c r="D13" s="24" t="s">
        <v>98</v>
      </c>
      <c r="E13" s="29" t="s">
        <v>61</v>
      </c>
      <c r="F13" s="27"/>
      <c r="G13" s="30" t="n">
        <f aca="false">F12</f>
        <v>500000</v>
      </c>
      <c r="H13" s="27"/>
    </row>
    <row r="14" customFormat="false" ht="15" hidden="false" customHeight="false" outlineLevel="0" collapsed="false">
      <c r="B14" s="7" t="s">
        <v>100</v>
      </c>
      <c r="C14" s="19" t="n">
        <v>45848</v>
      </c>
      <c r="D14" s="7" t="s">
        <v>101</v>
      </c>
      <c r="E14" s="7" t="s">
        <v>63</v>
      </c>
      <c r="F14" s="20" t="n">
        <v>800000</v>
      </c>
      <c r="G14" s="21"/>
      <c r="H14" s="22" t="s">
        <v>102</v>
      </c>
    </row>
    <row r="15" customFormat="false" ht="15" hidden="false" customHeight="false" outlineLevel="0" collapsed="false">
      <c r="B15" s="7" t="s">
        <v>100</v>
      </c>
      <c r="C15" s="19" t="n">
        <v>45848</v>
      </c>
      <c r="D15" s="7" t="s">
        <v>101</v>
      </c>
      <c r="E15" s="23" t="s">
        <v>6</v>
      </c>
      <c r="F15" s="21"/>
      <c r="G15" s="13" t="n">
        <f aca="false">F14</f>
        <v>800000</v>
      </c>
      <c r="H15" s="21"/>
    </row>
    <row r="16" customFormat="false" ht="15" hidden="false" customHeight="false" outlineLevel="0" collapsed="false">
      <c r="B16" s="24" t="s">
        <v>103</v>
      </c>
      <c r="C16" s="25" t="n">
        <v>45852</v>
      </c>
      <c r="D16" s="24" t="s">
        <v>36</v>
      </c>
      <c r="E16" s="24" t="s">
        <v>57</v>
      </c>
      <c r="F16" s="26" t="n">
        <v>425000</v>
      </c>
      <c r="G16" s="27"/>
      <c r="H16" s="28" t="s">
        <v>104</v>
      </c>
    </row>
    <row r="17" customFormat="false" ht="15" hidden="false" customHeight="false" outlineLevel="0" collapsed="false">
      <c r="B17" s="24" t="s">
        <v>103</v>
      </c>
      <c r="C17" s="25" t="n">
        <v>45852</v>
      </c>
      <c r="D17" s="24" t="s">
        <v>36</v>
      </c>
      <c r="E17" s="29" t="s">
        <v>6</v>
      </c>
      <c r="F17" s="27"/>
      <c r="G17" s="30" t="n">
        <f aca="false">F16</f>
        <v>425000</v>
      </c>
      <c r="H17" s="27"/>
    </row>
    <row r="18" customFormat="false" ht="15" hidden="false" customHeight="false" outlineLevel="0" collapsed="false">
      <c r="B18" s="7" t="s">
        <v>105</v>
      </c>
      <c r="C18" s="19" t="n">
        <v>45853</v>
      </c>
      <c r="D18" s="7" t="s">
        <v>106</v>
      </c>
      <c r="E18" s="7" t="s">
        <v>74</v>
      </c>
      <c r="F18" s="20" t="n">
        <v>290000</v>
      </c>
      <c r="G18" s="21"/>
      <c r="H18" s="22" t="s">
        <v>107</v>
      </c>
    </row>
    <row r="19" customFormat="false" ht="15" hidden="false" customHeight="false" outlineLevel="0" collapsed="false">
      <c r="B19" s="7" t="s">
        <v>105</v>
      </c>
      <c r="C19" s="19" t="n">
        <v>45853</v>
      </c>
      <c r="D19" s="7" t="s">
        <v>106</v>
      </c>
      <c r="E19" s="23" t="s">
        <v>62</v>
      </c>
      <c r="F19" s="21"/>
      <c r="G19" s="13" t="n">
        <f aca="false">F18</f>
        <v>290000</v>
      </c>
      <c r="H19" s="21"/>
    </row>
    <row r="20" customFormat="false" ht="15" hidden="false" customHeight="false" outlineLevel="0" collapsed="false">
      <c r="B20" s="24" t="s">
        <v>108</v>
      </c>
      <c r="C20" s="25" t="n">
        <v>45853</v>
      </c>
      <c r="D20" s="24" t="s">
        <v>106</v>
      </c>
      <c r="E20" s="24" t="s">
        <v>74</v>
      </c>
      <c r="F20" s="26" t="n">
        <v>200000</v>
      </c>
      <c r="G20" s="27"/>
      <c r="H20" s="28" t="s">
        <v>109</v>
      </c>
    </row>
    <row r="21" customFormat="false" ht="15" hidden="false" customHeight="false" outlineLevel="0" collapsed="false">
      <c r="B21" s="24" t="s">
        <v>108</v>
      </c>
      <c r="C21" s="25" t="n">
        <v>45853</v>
      </c>
      <c r="D21" s="24" t="s">
        <v>106</v>
      </c>
      <c r="E21" s="29" t="s">
        <v>62</v>
      </c>
      <c r="F21" s="27"/>
      <c r="G21" s="30" t="n">
        <f aca="false">F20</f>
        <v>200000</v>
      </c>
      <c r="H21" s="27"/>
    </row>
    <row r="22" customFormat="false" ht="15" hidden="false" customHeight="false" outlineLevel="0" collapsed="false">
      <c r="B22" s="7" t="s">
        <v>110</v>
      </c>
      <c r="C22" s="19" t="n">
        <v>45854</v>
      </c>
      <c r="D22" s="7" t="s">
        <v>37</v>
      </c>
      <c r="E22" s="7" t="s">
        <v>77</v>
      </c>
      <c r="F22" s="20" t="n">
        <v>45000</v>
      </c>
      <c r="G22" s="21"/>
      <c r="H22" s="22" t="s">
        <v>111</v>
      </c>
    </row>
    <row r="23" customFormat="false" ht="15" hidden="false" customHeight="false" outlineLevel="0" collapsed="false">
      <c r="B23" s="7" t="s">
        <v>110</v>
      </c>
      <c r="C23" s="19" t="n">
        <v>45854</v>
      </c>
      <c r="D23" s="7" t="s">
        <v>37</v>
      </c>
      <c r="E23" s="23" t="s">
        <v>61</v>
      </c>
      <c r="F23" s="21"/>
      <c r="G23" s="13" t="n">
        <f aca="false">F22</f>
        <v>45000</v>
      </c>
      <c r="H23" s="21"/>
    </row>
    <row r="24" customFormat="false" ht="15" hidden="false" customHeight="false" outlineLevel="0" collapsed="false">
      <c r="B24" s="24" t="s">
        <v>112</v>
      </c>
      <c r="C24" s="25" t="n">
        <v>45856</v>
      </c>
      <c r="D24" s="24" t="s">
        <v>38</v>
      </c>
      <c r="E24" s="24" t="s">
        <v>79</v>
      </c>
      <c r="F24" s="26" t="n">
        <v>70000</v>
      </c>
      <c r="G24" s="27"/>
      <c r="H24" s="28" t="s">
        <v>113</v>
      </c>
    </row>
    <row r="25" customFormat="false" ht="15" hidden="false" customHeight="false" outlineLevel="0" collapsed="false">
      <c r="B25" s="24" t="s">
        <v>112</v>
      </c>
      <c r="C25" s="25" t="n">
        <v>45856</v>
      </c>
      <c r="D25" s="24" t="s">
        <v>38</v>
      </c>
      <c r="E25" s="29" t="s">
        <v>61</v>
      </c>
      <c r="F25" s="27"/>
      <c r="G25" s="30" t="n">
        <f aca="false">F24</f>
        <v>70000</v>
      </c>
      <c r="H25" s="27"/>
    </row>
    <row r="26" customFormat="false" ht="15" hidden="false" customHeight="false" outlineLevel="0" collapsed="false">
      <c r="B26" s="7" t="s">
        <v>114</v>
      </c>
      <c r="C26" s="19" t="n">
        <v>45865</v>
      </c>
      <c r="D26" s="7" t="s">
        <v>39</v>
      </c>
      <c r="E26" s="7" t="s">
        <v>64</v>
      </c>
      <c r="F26" s="20" t="n">
        <v>250000</v>
      </c>
      <c r="G26" s="21"/>
      <c r="H26" s="22" t="s">
        <v>115</v>
      </c>
    </row>
    <row r="27" customFormat="false" ht="15" hidden="false" customHeight="false" outlineLevel="0" collapsed="false">
      <c r="B27" s="7" t="s">
        <v>114</v>
      </c>
      <c r="C27" s="19" t="n">
        <v>45865</v>
      </c>
      <c r="D27" s="7" t="s">
        <v>39</v>
      </c>
      <c r="E27" s="23" t="s">
        <v>61</v>
      </c>
      <c r="F27" s="21"/>
      <c r="G27" s="13" t="n">
        <f aca="false">F26</f>
        <v>250000</v>
      </c>
      <c r="H27" s="21"/>
    </row>
    <row r="28" customFormat="false" ht="15" hidden="false" customHeight="false" outlineLevel="0" collapsed="false">
      <c r="B28" s="24" t="s">
        <v>116</v>
      </c>
      <c r="C28" s="25" t="n">
        <v>45870</v>
      </c>
      <c r="D28" s="24" t="s">
        <v>40</v>
      </c>
      <c r="E28" s="24" t="s">
        <v>80</v>
      </c>
      <c r="F28" s="26" t="n">
        <v>110000</v>
      </c>
      <c r="G28" s="27"/>
      <c r="H28" s="28" t="s">
        <v>117</v>
      </c>
    </row>
    <row r="29" customFormat="false" ht="15" hidden="false" customHeight="false" outlineLevel="0" collapsed="false">
      <c r="B29" s="24" t="s">
        <v>116</v>
      </c>
      <c r="C29" s="25" t="n">
        <v>45870</v>
      </c>
      <c r="D29" s="24" t="s">
        <v>40</v>
      </c>
      <c r="E29" s="29" t="s">
        <v>61</v>
      </c>
      <c r="F29" s="27"/>
      <c r="G29" s="30" t="n">
        <f aca="false">F28</f>
        <v>110000</v>
      </c>
      <c r="H29" s="27"/>
    </row>
    <row r="30" customFormat="false" ht="15" hidden="false" customHeight="false" outlineLevel="0" collapsed="false">
      <c r="B30" s="7" t="s">
        <v>118</v>
      </c>
      <c r="C30" s="19" t="n">
        <v>45871</v>
      </c>
      <c r="D30" s="7" t="s">
        <v>41</v>
      </c>
      <c r="E30" s="7" t="s">
        <v>81</v>
      </c>
      <c r="F30" s="20" t="n">
        <v>35000</v>
      </c>
      <c r="G30" s="21"/>
      <c r="H30" s="22" t="s">
        <v>119</v>
      </c>
    </row>
    <row r="31" customFormat="false" ht="15" hidden="false" customHeight="false" outlineLevel="0" collapsed="false">
      <c r="B31" s="7" t="s">
        <v>118</v>
      </c>
      <c r="C31" s="19" t="n">
        <v>45871</v>
      </c>
      <c r="D31" s="7" t="s">
        <v>41</v>
      </c>
      <c r="E31" s="23" t="s">
        <v>61</v>
      </c>
      <c r="F31" s="21"/>
      <c r="G31" s="13" t="n">
        <f aca="false">F30</f>
        <v>35000</v>
      </c>
      <c r="H31" s="21"/>
    </row>
    <row r="32" customFormat="false" ht="15" hidden="false" customHeight="false" outlineLevel="0" collapsed="false">
      <c r="B32" s="24" t="s">
        <v>120</v>
      </c>
      <c r="C32" s="25" t="n">
        <v>46203</v>
      </c>
      <c r="D32" s="24" t="s">
        <v>121</v>
      </c>
      <c r="E32" s="24" t="s">
        <v>82</v>
      </c>
      <c r="F32" s="26" t="n">
        <v>142500</v>
      </c>
      <c r="G32" s="27"/>
      <c r="H32" s="28" t="s">
        <v>122</v>
      </c>
    </row>
    <row r="33" customFormat="false" ht="15" hidden="false" customHeight="false" outlineLevel="0" collapsed="false">
      <c r="B33" s="24" t="s">
        <v>120</v>
      </c>
      <c r="C33" s="25" t="n">
        <v>46203</v>
      </c>
      <c r="D33" s="24" t="s">
        <v>121</v>
      </c>
      <c r="E33" s="29" t="s">
        <v>70</v>
      </c>
      <c r="F33" s="27"/>
      <c r="G33" s="30" t="n">
        <f aca="false">F32</f>
        <v>142500</v>
      </c>
      <c r="H33" s="27"/>
    </row>
    <row r="34" customFormat="false" ht="15" hidden="false" customHeight="false" outlineLevel="0" collapsed="false">
      <c r="E34" s="31" t="s">
        <v>123</v>
      </c>
      <c r="F34" s="32" t="n">
        <f aca="false">SUM(F6:F33)</f>
        <v>10117500</v>
      </c>
      <c r="G34" s="32" t="n">
        <f aca="false">SUM(G6:G33)</f>
        <v>10117500</v>
      </c>
    </row>
    <row r="35" customFormat="false" ht="15" hidden="false" customHeight="false" outlineLevel="0" collapsed="false">
      <c r="E35" s="33" t="s">
        <v>124</v>
      </c>
      <c r="G35" s="34" t="n">
        <f aca="false">F34-G34</f>
        <v>0</v>
      </c>
    </row>
    <row r="37" customFormat="false" ht="15" hidden="false" customHeight="false" outlineLevel="0" collapsed="false">
      <c r="B37" s="35" t="s">
        <v>125</v>
      </c>
    </row>
  </sheetData>
  <mergeCells count="3">
    <mergeCell ref="B1:H1"/>
    <mergeCell ref="B2:H2"/>
    <mergeCell ref="B3:H3"/>
  </mergeCells>
  <dataValidations count="1">
    <dataValidation allowBlank="false" errorStyle="stop" operator="between" showDropDown="false" showErrorMessage="false" showInputMessage="false" sqref="E6:E33" type="list">
      <formula1>'Chart of Accounts'!$C$6:$C$20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B1" s="15" t="s">
        <v>0</v>
      </c>
      <c r="C1" s="15"/>
      <c r="D1" s="15"/>
      <c r="E1" s="15"/>
      <c r="F1" s="15"/>
      <c r="G1" s="15"/>
    </row>
    <row r="2" customFormat="false" ht="15" hidden="false" customHeight="false" outlineLevel="0" collapsed="false">
      <c r="B2" s="16" t="s">
        <v>126</v>
      </c>
      <c r="C2" s="16"/>
      <c r="D2" s="16"/>
      <c r="E2" s="16"/>
      <c r="F2" s="16"/>
      <c r="G2" s="16"/>
    </row>
    <row r="3" customFormat="false" ht="15" hidden="false" customHeight="false" outlineLevel="0" collapsed="false">
      <c r="B3" s="17" t="s">
        <v>50</v>
      </c>
      <c r="C3" s="17"/>
      <c r="D3" s="17"/>
      <c r="E3" s="17"/>
      <c r="F3" s="17"/>
      <c r="G3" s="17"/>
    </row>
    <row r="5" customFormat="false" ht="15" hidden="false" customHeight="false" outlineLevel="0" collapsed="false">
      <c r="B5" s="36" t="s">
        <v>127</v>
      </c>
      <c r="C5" s="37"/>
      <c r="D5" s="37"/>
      <c r="E5" s="37"/>
      <c r="F5" s="37"/>
      <c r="G5" s="37"/>
    </row>
    <row r="6" customFormat="false" ht="21.75" hidden="false" customHeight="true" outlineLevel="0" collapsed="false">
      <c r="B6" s="11" t="s">
        <v>28</v>
      </c>
      <c r="C6" s="11" t="s">
        <v>85</v>
      </c>
      <c r="D6" s="11" t="s">
        <v>128</v>
      </c>
      <c r="E6" s="11" t="s">
        <v>60</v>
      </c>
      <c r="F6" s="11" t="s">
        <v>69</v>
      </c>
      <c r="G6" s="11" t="s">
        <v>129</v>
      </c>
    </row>
    <row r="7" customFormat="false" ht="15" hidden="false" customHeight="false" outlineLevel="0" collapsed="false">
      <c r="B7" s="12" t="n">
        <f aca="false">'General Journal'!C6</f>
        <v>45839</v>
      </c>
      <c r="C7" s="7" t="str">
        <f aca="false">'General Journal'!D6</f>
        <v>Business started with cash</v>
      </c>
      <c r="D7" s="7" t="str">
        <f aca="false">'General Journal'!E7</f>
        <v>Owner's Capital</v>
      </c>
      <c r="E7" s="13" t="n">
        <f aca="false">'General Journal'!F6</f>
        <v>5000000</v>
      </c>
      <c r="F7" s="13"/>
      <c r="G7" s="38" t="n">
        <f aca="false">SUM($E$7:E7)-SUM($F$7:F7)</f>
        <v>5000000</v>
      </c>
    </row>
    <row r="8" customFormat="false" ht="15" hidden="false" customHeight="false" outlineLevel="0" collapsed="false">
      <c r="B8" s="12" t="n">
        <f aca="false">'General Journal'!C9</f>
        <v>45840</v>
      </c>
      <c r="C8" s="7" t="str">
        <f aca="false">'General Journal'!D9</f>
        <v>Cash deposited into bank</v>
      </c>
      <c r="D8" s="7" t="str">
        <f aca="false">'General Journal'!E8</f>
        <v>Bank</v>
      </c>
      <c r="E8" s="13"/>
      <c r="F8" s="13" t="n">
        <f aca="false">'General Journal'!G9</f>
        <v>1500000</v>
      </c>
      <c r="G8" s="38" t="n">
        <f aca="false">SUM($E$7:E8)-SUM($F$7:F8)</f>
        <v>3500000</v>
      </c>
    </row>
    <row r="9" customFormat="false" ht="15" hidden="false" customHeight="false" outlineLevel="0" collapsed="false">
      <c r="B9" s="12" t="n">
        <f aca="false">'General Journal'!C16</f>
        <v>45852</v>
      </c>
      <c r="C9" s="7" t="str">
        <f aca="false">'General Journal'!D16</f>
        <v>Inventory sold for cash</v>
      </c>
      <c r="D9" s="7" t="str">
        <f aca="false">'General Journal'!E17</f>
        <v>Sales Revenue</v>
      </c>
      <c r="E9" s="13" t="n">
        <f aca="false">'General Journal'!F16</f>
        <v>425000</v>
      </c>
      <c r="F9" s="13"/>
      <c r="G9" s="38" t="n">
        <f aca="false">SUM($E$7:E9)-SUM($F$7:F9)</f>
        <v>3925000</v>
      </c>
    </row>
    <row r="10" customFormat="false" ht="15" hidden="false" customHeight="false" outlineLevel="0" collapsed="false">
      <c r="D10" s="39" t="s">
        <v>130</v>
      </c>
      <c r="E10" s="40" t="n">
        <f aca="false">SUM(E7:E9)</f>
        <v>5425000</v>
      </c>
      <c r="F10" s="40" t="n">
        <f aca="false">SUM(F7:F9)</f>
        <v>1500000</v>
      </c>
      <c r="G10" s="41" t="n">
        <f aca="false">E10-F10</f>
        <v>3925000</v>
      </c>
    </row>
    <row r="12" customFormat="false" ht="15" hidden="false" customHeight="false" outlineLevel="0" collapsed="false">
      <c r="B12" s="36" t="s">
        <v>131</v>
      </c>
      <c r="C12" s="37"/>
      <c r="D12" s="37"/>
      <c r="E12" s="37"/>
      <c r="F12" s="37"/>
      <c r="G12" s="37"/>
    </row>
    <row r="13" customFormat="false" ht="21.75" hidden="false" customHeight="true" outlineLevel="0" collapsed="false">
      <c r="B13" s="11" t="s">
        <v>28</v>
      </c>
      <c r="C13" s="11" t="s">
        <v>85</v>
      </c>
      <c r="D13" s="11" t="s">
        <v>128</v>
      </c>
      <c r="E13" s="11" t="s">
        <v>60</v>
      </c>
      <c r="F13" s="11" t="s">
        <v>69</v>
      </c>
      <c r="G13" s="11" t="s">
        <v>129</v>
      </c>
    </row>
    <row r="14" customFormat="false" ht="15" hidden="false" customHeight="false" outlineLevel="0" collapsed="false">
      <c r="B14" s="12" t="n">
        <f aca="false">'General Journal'!C8</f>
        <v>45840</v>
      </c>
      <c r="C14" s="7" t="str">
        <f aca="false">'General Journal'!D8</f>
        <v>Cash deposited into bank</v>
      </c>
      <c r="D14" s="7" t="str">
        <f aca="false">'General Journal'!E9</f>
        <v>Cash in Hand</v>
      </c>
      <c r="E14" s="13" t="n">
        <f aca="false">'General Journal'!F8</f>
        <v>1500000</v>
      </c>
      <c r="F14" s="13"/>
      <c r="G14" s="38" t="n">
        <f aca="false">SUM($E$14:E14)-SUM($F$14:F14)</f>
        <v>1500000</v>
      </c>
    </row>
    <row r="15" customFormat="false" ht="15" hidden="false" customHeight="false" outlineLevel="0" collapsed="false">
      <c r="B15" s="12" t="n">
        <f aca="false">'General Journal'!C13</f>
        <v>45845</v>
      </c>
      <c r="C15" s="7" t="str">
        <f aca="false">'General Journal'!D13</f>
        <v>Inventory purchased</v>
      </c>
      <c r="D15" s="7" t="str">
        <f aca="false">'General Journal'!E12</f>
        <v>Inventory</v>
      </c>
      <c r="E15" s="13"/>
      <c r="F15" s="13" t="n">
        <f aca="false">'General Journal'!G13</f>
        <v>500000</v>
      </c>
      <c r="G15" s="38" t="n">
        <f aca="false">SUM($E$14:E15)-SUM($F$14:F15)</f>
        <v>1000000</v>
      </c>
    </row>
    <row r="16" customFormat="false" ht="15" hidden="false" customHeight="false" outlineLevel="0" collapsed="false">
      <c r="B16" s="12" t="n">
        <f aca="false">'General Journal'!C23</f>
        <v>45854</v>
      </c>
      <c r="C16" s="7" t="str">
        <f aca="false">'General Journal'!D23</f>
        <v>Office expenses incurred</v>
      </c>
      <c r="D16" s="7" t="str">
        <f aca="false">'General Journal'!E22</f>
        <v>Office Expenses</v>
      </c>
      <c r="E16" s="13"/>
      <c r="F16" s="13" t="n">
        <f aca="false">'General Journal'!G23</f>
        <v>45000</v>
      </c>
      <c r="G16" s="38" t="n">
        <f aca="false">SUM($E$14:E16)-SUM($F$14:F16)</f>
        <v>955000</v>
      </c>
    </row>
    <row r="17" customFormat="false" ht="15" hidden="false" customHeight="false" outlineLevel="0" collapsed="false">
      <c r="B17" s="12" t="n">
        <f aca="false">'General Journal'!C25</f>
        <v>45856</v>
      </c>
      <c r="C17" s="7" t="str">
        <f aca="false">'General Journal'!D25</f>
        <v>Entertainment expenses incurred</v>
      </c>
      <c r="D17" s="7" t="str">
        <f aca="false">'General Journal'!E24</f>
        <v>Entertainment Expenses</v>
      </c>
      <c r="E17" s="13"/>
      <c r="F17" s="13" t="n">
        <f aca="false">'General Journal'!G25</f>
        <v>70000</v>
      </c>
      <c r="G17" s="38" t="n">
        <f aca="false">SUM($E$14:E17)-SUM($F$14:F17)</f>
        <v>885000</v>
      </c>
    </row>
    <row r="18" customFormat="false" ht="15" hidden="false" customHeight="false" outlineLevel="0" collapsed="false">
      <c r="B18" s="12" t="n">
        <f aca="false">'General Journal'!C27</f>
        <v>45865</v>
      </c>
      <c r="C18" s="7" t="str">
        <f aca="false">'General Journal'!D27</f>
        <v>Computer purchased</v>
      </c>
      <c r="D18" s="7" t="str">
        <f aca="false">'General Journal'!E26</f>
        <v>Computer Equipment</v>
      </c>
      <c r="E18" s="13"/>
      <c r="F18" s="13" t="n">
        <f aca="false">'General Journal'!G27</f>
        <v>250000</v>
      </c>
      <c r="G18" s="38" t="n">
        <f aca="false">SUM($E$14:E18)-SUM($F$14:F18)</f>
        <v>635000</v>
      </c>
    </row>
    <row r="19" customFormat="false" ht="15" hidden="false" customHeight="false" outlineLevel="0" collapsed="false">
      <c r="B19" s="12" t="n">
        <f aca="false">'General Journal'!C29</f>
        <v>45870</v>
      </c>
      <c r="C19" s="7" t="str">
        <f aca="false">'General Journal'!D29</f>
        <v>Salary paid</v>
      </c>
      <c r="D19" s="7" t="str">
        <f aca="false">'General Journal'!E28</f>
        <v>Salary Expense</v>
      </c>
      <c r="E19" s="13"/>
      <c r="F19" s="13" t="n">
        <f aca="false">'General Journal'!G29</f>
        <v>110000</v>
      </c>
      <c r="G19" s="38" t="n">
        <f aca="false">SUM($E$14:E19)-SUM($F$14:F19)</f>
        <v>525000</v>
      </c>
    </row>
    <row r="20" customFormat="false" ht="15" hidden="false" customHeight="false" outlineLevel="0" collapsed="false">
      <c r="B20" s="12" t="n">
        <f aca="false">'General Journal'!C31</f>
        <v>45871</v>
      </c>
      <c r="C20" s="7" t="str">
        <f aca="false">'General Journal'!D31</f>
        <v>Rent paid to Mr. Abbas</v>
      </c>
      <c r="D20" s="7" t="str">
        <f aca="false">'General Journal'!E30</f>
        <v>Rent Expense</v>
      </c>
      <c r="E20" s="13"/>
      <c r="F20" s="13" t="n">
        <f aca="false">'General Journal'!G31</f>
        <v>35000</v>
      </c>
      <c r="G20" s="38" t="n">
        <f aca="false">SUM($E$14:E20)-SUM($F$14:F20)</f>
        <v>490000</v>
      </c>
    </row>
    <row r="21" customFormat="false" ht="15" hidden="false" customHeight="false" outlineLevel="0" collapsed="false">
      <c r="D21" s="39" t="s">
        <v>130</v>
      </c>
      <c r="E21" s="40" t="n">
        <f aca="false">SUM(E14:E20)</f>
        <v>1500000</v>
      </c>
      <c r="F21" s="40" t="n">
        <f aca="false">SUM(F14:F20)</f>
        <v>1010000</v>
      </c>
      <c r="G21" s="41" t="n">
        <f aca="false">E21-F21</f>
        <v>490000</v>
      </c>
    </row>
    <row r="23" customFormat="false" ht="15" hidden="false" customHeight="false" outlineLevel="0" collapsed="false">
      <c r="B23" s="36" t="s">
        <v>132</v>
      </c>
      <c r="C23" s="37"/>
      <c r="D23" s="37"/>
      <c r="E23" s="37"/>
      <c r="F23" s="37"/>
      <c r="G23" s="37"/>
    </row>
    <row r="24" customFormat="false" ht="21.75" hidden="false" customHeight="true" outlineLevel="0" collapsed="false">
      <c r="B24" s="11" t="s">
        <v>28</v>
      </c>
      <c r="C24" s="11" t="s">
        <v>85</v>
      </c>
      <c r="D24" s="11" t="s">
        <v>128</v>
      </c>
      <c r="E24" s="11" t="s">
        <v>60</v>
      </c>
      <c r="F24" s="11" t="s">
        <v>69</v>
      </c>
      <c r="G24" s="11" t="s">
        <v>129</v>
      </c>
    </row>
    <row r="25" customFormat="false" ht="15" hidden="false" customHeight="false" outlineLevel="0" collapsed="false">
      <c r="B25" s="12" t="n">
        <f aca="false">'General Journal'!C10</f>
        <v>45843</v>
      </c>
      <c r="C25" s="7" t="str">
        <f aca="false">'General Journal'!D10</f>
        <v>Inventory purchased on credit</v>
      </c>
      <c r="D25" s="7" t="str">
        <f aca="false">'General Journal'!E11</f>
        <v>Accounts Payable - Mega Mart</v>
      </c>
      <c r="E25" s="13" t="n">
        <f aca="false">'General Journal'!F10</f>
        <v>750000</v>
      </c>
      <c r="F25" s="13"/>
      <c r="G25" s="38" t="n">
        <f aca="false">SUM($E$25:E25)-SUM($F$25:F25)</f>
        <v>750000</v>
      </c>
    </row>
    <row r="26" customFormat="false" ht="15" hidden="false" customHeight="false" outlineLevel="0" collapsed="false">
      <c r="B26" s="12" t="n">
        <f aca="false">'General Journal'!C12</f>
        <v>45845</v>
      </c>
      <c r="C26" s="7" t="str">
        <f aca="false">'General Journal'!D12</f>
        <v>Inventory purchased</v>
      </c>
      <c r="D26" s="7" t="str">
        <f aca="false">'General Journal'!E13</f>
        <v>Bank</v>
      </c>
      <c r="E26" s="13" t="n">
        <f aca="false">'General Journal'!F12</f>
        <v>500000</v>
      </c>
      <c r="F26" s="13"/>
      <c r="G26" s="38" t="n">
        <f aca="false">SUM($E$25:E26)-SUM($F$25:F26)</f>
        <v>1250000</v>
      </c>
    </row>
    <row r="27" customFormat="false" ht="15" hidden="false" customHeight="false" outlineLevel="0" collapsed="false">
      <c r="B27" s="12" t="n">
        <f aca="false">'General Journal'!C19</f>
        <v>45853</v>
      </c>
      <c r="C27" s="7" t="str">
        <f aca="false">'General Journal'!D19</f>
        <v>Cost of goods sold</v>
      </c>
      <c r="D27" s="7" t="str">
        <f aca="false">'General Journal'!E18</f>
        <v>Cost of Goods Sold</v>
      </c>
      <c r="E27" s="13"/>
      <c r="F27" s="13" t="n">
        <f aca="false">'General Journal'!G19</f>
        <v>290000</v>
      </c>
      <c r="G27" s="38" t="n">
        <f aca="false">SUM($E$25:E27)-SUM($F$25:F27)</f>
        <v>960000</v>
      </c>
    </row>
    <row r="28" customFormat="false" ht="15" hidden="false" customHeight="false" outlineLevel="0" collapsed="false">
      <c r="B28" s="12" t="n">
        <f aca="false">'General Journal'!C21</f>
        <v>45853</v>
      </c>
      <c r="C28" s="7" t="str">
        <f aca="false">'General Journal'!D21</f>
        <v>Cost of goods sold</v>
      </c>
      <c r="D28" s="7" t="str">
        <f aca="false">'General Journal'!E20</f>
        <v>Cost of Goods Sold</v>
      </c>
      <c r="E28" s="13"/>
      <c r="F28" s="13" t="n">
        <f aca="false">'General Journal'!G21</f>
        <v>200000</v>
      </c>
      <c r="G28" s="38" t="n">
        <f aca="false">SUM($E$25:E28)-SUM($F$25:F28)</f>
        <v>760000</v>
      </c>
    </row>
    <row r="29" customFormat="false" ht="15" hidden="false" customHeight="false" outlineLevel="0" collapsed="false">
      <c r="D29" s="39" t="s">
        <v>130</v>
      </c>
      <c r="E29" s="40" t="n">
        <f aca="false">SUM(E25:E28)</f>
        <v>1250000</v>
      </c>
      <c r="F29" s="40" t="n">
        <f aca="false">SUM(F25:F28)</f>
        <v>490000</v>
      </c>
      <c r="G29" s="41" t="n">
        <f aca="false">E29-F29</f>
        <v>760000</v>
      </c>
    </row>
    <row r="31" customFormat="false" ht="15" hidden="false" customHeight="false" outlineLevel="0" collapsed="false">
      <c r="B31" s="36" t="s">
        <v>133</v>
      </c>
      <c r="C31" s="37"/>
      <c r="D31" s="37"/>
      <c r="E31" s="37"/>
      <c r="F31" s="37"/>
      <c r="G31" s="37"/>
    </row>
    <row r="32" customFormat="false" ht="21.75" hidden="false" customHeight="true" outlineLevel="0" collapsed="false">
      <c r="B32" s="11" t="s">
        <v>28</v>
      </c>
      <c r="C32" s="11" t="s">
        <v>85</v>
      </c>
      <c r="D32" s="11" t="s">
        <v>128</v>
      </c>
      <c r="E32" s="11" t="s">
        <v>60</v>
      </c>
      <c r="F32" s="11" t="s">
        <v>69</v>
      </c>
      <c r="G32" s="11" t="s">
        <v>129</v>
      </c>
    </row>
    <row r="33" customFormat="false" ht="15" hidden="false" customHeight="false" outlineLevel="0" collapsed="false">
      <c r="B33" s="12" t="n">
        <f aca="false">'General Journal'!C14</f>
        <v>45848</v>
      </c>
      <c r="C33" s="7" t="str">
        <f aca="false">'General Journal'!D14</f>
        <v>Inventory sold on credit</v>
      </c>
      <c r="D33" s="7" t="str">
        <f aca="false">'General Journal'!E15</f>
        <v>Sales Revenue</v>
      </c>
      <c r="E33" s="13" t="n">
        <f aca="false">'General Journal'!F14</f>
        <v>800000</v>
      </c>
      <c r="F33" s="13"/>
      <c r="G33" s="38" t="n">
        <f aca="false">SUM($E$33:E33)-SUM($F$33:F33)</f>
        <v>800000</v>
      </c>
    </row>
    <row r="34" customFormat="false" ht="15" hidden="false" customHeight="false" outlineLevel="0" collapsed="false">
      <c r="D34" s="39" t="s">
        <v>130</v>
      </c>
      <c r="E34" s="40" t="n">
        <f aca="false">SUM(E33:E33)</f>
        <v>800000</v>
      </c>
      <c r="F34" s="40" t="n">
        <f aca="false">SUM(F33:F33)</f>
        <v>0</v>
      </c>
      <c r="G34" s="41" t="n">
        <f aca="false">E34-F34</f>
        <v>800000</v>
      </c>
    </row>
    <row r="36" customFormat="false" ht="15" hidden="false" customHeight="false" outlineLevel="0" collapsed="false">
      <c r="B36" s="36" t="s">
        <v>134</v>
      </c>
      <c r="C36" s="37"/>
      <c r="D36" s="37"/>
      <c r="E36" s="37"/>
      <c r="F36" s="37"/>
      <c r="G36" s="37"/>
    </row>
    <row r="37" customFormat="false" ht="21.75" hidden="false" customHeight="true" outlineLevel="0" collapsed="false">
      <c r="B37" s="11" t="s">
        <v>28</v>
      </c>
      <c r="C37" s="11" t="s">
        <v>85</v>
      </c>
      <c r="D37" s="11" t="s">
        <v>128</v>
      </c>
      <c r="E37" s="11" t="s">
        <v>60</v>
      </c>
      <c r="F37" s="11" t="s">
        <v>69</v>
      </c>
      <c r="G37" s="11" t="s">
        <v>129</v>
      </c>
    </row>
    <row r="38" customFormat="false" ht="15" hidden="false" customHeight="false" outlineLevel="0" collapsed="false">
      <c r="B38" s="12" t="n">
        <f aca="false">'General Journal'!C26</f>
        <v>45865</v>
      </c>
      <c r="C38" s="7" t="str">
        <f aca="false">'General Journal'!D26</f>
        <v>Computer purchased</v>
      </c>
      <c r="D38" s="7" t="str">
        <f aca="false">'General Journal'!E27</f>
        <v>Bank</v>
      </c>
      <c r="E38" s="13" t="n">
        <f aca="false">'General Journal'!F26</f>
        <v>250000</v>
      </c>
      <c r="F38" s="13"/>
      <c r="G38" s="38" t="n">
        <f aca="false">SUM($E$38:E38)-SUM($F$38:F38)</f>
        <v>250000</v>
      </c>
    </row>
    <row r="39" customFormat="false" ht="15" hidden="false" customHeight="false" outlineLevel="0" collapsed="false">
      <c r="D39" s="39" t="s">
        <v>130</v>
      </c>
      <c r="E39" s="40" t="n">
        <f aca="false">SUM(E38:E38)</f>
        <v>250000</v>
      </c>
      <c r="F39" s="40" t="n">
        <f aca="false">SUM(F38:F38)</f>
        <v>0</v>
      </c>
      <c r="G39" s="41" t="n">
        <f aca="false">E39-F39</f>
        <v>250000</v>
      </c>
    </row>
    <row r="41" customFormat="false" ht="15" hidden="false" customHeight="false" outlineLevel="0" collapsed="false">
      <c r="B41" s="36" t="s">
        <v>135</v>
      </c>
      <c r="C41" s="37"/>
      <c r="D41" s="37"/>
      <c r="E41" s="37"/>
      <c r="F41" s="37"/>
      <c r="G41" s="37"/>
    </row>
    <row r="42" customFormat="false" ht="21.75" hidden="false" customHeight="true" outlineLevel="0" collapsed="false">
      <c r="B42" s="11" t="s">
        <v>28</v>
      </c>
      <c r="C42" s="11" t="s">
        <v>85</v>
      </c>
      <c r="D42" s="11" t="s">
        <v>128</v>
      </c>
      <c r="E42" s="11" t="s">
        <v>60</v>
      </c>
      <c r="F42" s="11" t="s">
        <v>69</v>
      </c>
      <c r="G42" s="11" t="s">
        <v>129</v>
      </c>
    </row>
    <row r="43" customFormat="false" ht="15" hidden="false" customHeight="false" outlineLevel="0" collapsed="false">
      <c r="B43" s="12" t="n">
        <f aca="false">'General Journal'!C11</f>
        <v>45843</v>
      </c>
      <c r="C43" s="7" t="str">
        <f aca="false">'General Journal'!D11</f>
        <v>Inventory purchased on credit</v>
      </c>
      <c r="D43" s="7" t="str">
        <f aca="false">'General Journal'!E10</f>
        <v>Inventory</v>
      </c>
      <c r="E43" s="13"/>
      <c r="F43" s="13" t="n">
        <f aca="false">'General Journal'!G11</f>
        <v>750000</v>
      </c>
      <c r="G43" s="38" t="n">
        <f aca="false">SUM($E$43:E43)-SUM($F$43:F43)</f>
        <v>-750000</v>
      </c>
    </row>
    <row r="44" customFormat="false" ht="15" hidden="false" customHeight="false" outlineLevel="0" collapsed="false">
      <c r="D44" s="39" t="s">
        <v>130</v>
      </c>
      <c r="E44" s="40" t="n">
        <f aca="false">SUM(E43:E43)</f>
        <v>0</v>
      </c>
      <c r="F44" s="40" t="n">
        <f aca="false">SUM(F43:F43)</f>
        <v>750000</v>
      </c>
      <c r="G44" s="41" t="n">
        <f aca="false">E44-F44</f>
        <v>-750000</v>
      </c>
    </row>
    <row r="46" customFormat="false" ht="15" hidden="false" customHeight="false" outlineLevel="0" collapsed="false">
      <c r="B46" s="36" t="s">
        <v>136</v>
      </c>
      <c r="C46" s="37"/>
      <c r="D46" s="37"/>
      <c r="E46" s="37"/>
      <c r="F46" s="37"/>
      <c r="G46" s="37"/>
    </row>
    <row r="47" customFormat="false" ht="21.75" hidden="false" customHeight="true" outlineLevel="0" collapsed="false">
      <c r="B47" s="11" t="s">
        <v>28</v>
      </c>
      <c r="C47" s="11" t="s">
        <v>85</v>
      </c>
      <c r="D47" s="11" t="s">
        <v>128</v>
      </c>
      <c r="E47" s="11" t="s">
        <v>60</v>
      </c>
      <c r="F47" s="11" t="s">
        <v>69</v>
      </c>
      <c r="G47" s="11" t="s">
        <v>129</v>
      </c>
    </row>
    <row r="48" customFormat="false" ht="15" hidden="false" customHeight="false" outlineLevel="0" collapsed="false">
      <c r="B48" s="12" t="n">
        <f aca="false">'General Journal'!C33</f>
        <v>46203</v>
      </c>
      <c r="C48" s="7" t="str">
        <f aca="false">'General Journal'!D33</f>
        <v>Income tax provision</v>
      </c>
      <c r="D48" s="7" t="str">
        <f aca="false">'General Journal'!E32</f>
        <v>Income Tax Expense</v>
      </c>
      <c r="E48" s="13"/>
      <c r="F48" s="13" t="n">
        <f aca="false">'General Journal'!G33</f>
        <v>142500</v>
      </c>
      <c r="G48" s="38" t="n">
        <f aca="false">SUM($E$48:E48)-SUM($F$48:F48)</f>
        <v>-142500</v>
      </c>
    </row>
    <row r="49" customFormat="false" ht="15" hidden="false" customHeight="false" outlineLevel="0" collapsed="false">
      <c r="D49" s="39" t="s">
        <v>130</v>
      </c>
      <c r="E49" s="40" t="n">
        <f aca="false">SUM(E48:E48)</f>
        <v>0</v>
      </c>
      <c r="F49" s="40" t="n">
        <f aca="false">SUM(F48:F48)</f>
        <v>142500</v>
      </c>
      <c r="G49" s="41" t="n">
        <f aca="false">E49-F49</f>
        <v>-142500</v>
      </c>
    </row>
    <row r="51" customFormat="false" ht="15" hidden="false" customHeight="false" outlineLevel="0" collapsed="false">
      <c r="B51" s="36" t="s">
        <v>137</v>
      </c>
      <c r="C51" s="37"/>
      <c r="D51" s="37"/>
      <c r="E51" s="37"/>
      <c r="F51" s="37"/>
      <c r="G51" s="37"/>
    </row>
    <row r="52" customFormat="false" ht="21.75" hidden="false" customHeight="true" outlineLevel="0" collapsed="false">
      <c r="B52" s="11" t="s">
        <v>28</v>
      </c>
      <c r="C52" s="11" t="s">
        <v>85</v>
      </c>
      <c r="D52" s="11" t="s">
        <v>128</v>
      </c>
      <c r="E52" s="11" t="s">
        <v>60</v>
      </c>
      <c r="F52" s="11" t="s">
        <v>69</v>
      </c>
      <c r="G52" s="11" t="s">
        <v>129</v>
      </c>
    </row>
    <row r="53" customFormat="false" ht="15" hidden="false" customHeight="false" outlineLevel="0" collapsed="false">
      <c r="B53" s="12" t="n">
        <f aca="false">'General Journal'!C7</f>
        <v>45839</v>
      </c>
      <c r="C53" s="7" t="str">
        <f aca="false">'General Journal'!D7</f>
        <v>Business started with cash</v>
      </c>
      <c r="D53" s="7" t="str">
        <f aca="false">'General Journal'!E6</f>
        <v>Cash in Hand</v>
      </c>
      <c r="E53" s="13"/>
      <c r="F53" s="13" t="n">
        <f aca="false">'General Journal'!G7</f>
        <v>5000000</v>
      </c>
      <c r="G53" s="38" t="n">
        <f aca="false">SUM($E$53:E53)-SUM($F$53:F53)</f>
        <v>-5000000</v>
      </c>
    </row>
    <row r="54" customFormat="false" ht="15" hidden="false" customHeight="false" outlineLevel="0" collapsed="false">
      <c r="D54" s="39" t="s">
        <v>130</v>
      </c>
      <c r="E54" s="40" t="n">
        <f aca="false">SUM(E53:E53)</f>
        <v>0</v>
      </c>
      <c r="F54" s="40" t="n">
        <f aca="false">SUM(F53:F53)</f>
        <v>5000000</v>
      </c>
      <c r="G54" s="41" t="n">
        <f aca="false">E54-F54</f>
        <v>-5000000</v>
      </c>
    </row>
    <row r="56" customFormat="false" ht="15" hidden="false" customHeight="false" outlineLevel="0" collapsed="false">
      <c r="B56" s="36" t="s">
        <v>138</v>
      </c>
      <c r="C56" s="37"/>
      <c r="D56" s="37"/>
      <c r="E56" s="37"/>
      <c r="F56" s="37"/>
      <c r="G56" s="37"/>
    </row>
    <row r="57" customFormat="false" ht="21.75" hidden="false" customHeight="true" outlineLevel="0" collapsed="false">
      <c r="B57" s="11" t="s">
        <v>28</v>
      </c>
      <c r="C57" s="11" t="s">
        <v>85</v>
      </c>
      <c r="D57" s="11" t="s">
        <v>128</v>
      </c>
      <c r="E57" s="11" t="s">
        <v>60</v>
      </c>
      <c r="F57" s="11" t="s">
        <v>69</v>
      </c>
      <c r="G57" s="11" t="s">
        <v>129</v>
      </c>
    </row>
    <row r="58" customFormat="false" ht="15" hidden="false" customHeight="false" outlineLevel="0" collapsed="false">
      <c r="B58" s="12" t="n">
        <f aca="false">'General Journal'!C15</f>
        <v>45848</v>
      </c>
      <c r="C58" s="7" t="str">
        <f aca="false">'General Journal'!D15</f>
        <v>Inventory sold on credit</v>
      </c>
      <c r="D58" s="7" t="str">
        <f aca="false">'General Journal'!E14</f>
        <v>Accounts Receivable - Mr. Rehman</v>
      </c>
      <c r="E58" s="13"/>
      <c r="F58" s="13" t="n">
        <f aca="false">'General Journal'!G15</f>
        <v>800000</v>
      </c>
      <c r="G58" s="38" t="n">
        <f aca="false">SUM($E$58:E58)-SUM($F$58:F58)</f>
        <v>-800000</v>
      </c>
    </row>
    <row r="59" customFormat="false" ht="15" hidden="false" customHeight="false" outlineLevel="0" collapsed="false">
      <c r="B59" s="12" t="n">
        <f aca="false">'General Journal'!C17</f>
        <v>45852</v>
      </c>
      <c r="C59" s="7" t="str">
        <f aca="false">'General Journal'!D17</f>
        <v>Inventory sold for cash</v>
      </c>
      <c r="D59" s="7" t="str">
        <f aca="false">'General Journal'!E16</f>
        <v>Cash in Hand</v>
      </c>
      <c r="E59" s="13"/>
      <c r="F59" s="13" t="n">
        <f aca="false">'General Journal'!G17</f>
        <v>425000</v>
      </c>
      <c r="G59" s="38" t="n">
        <f aca="false">SUM($E$58:E59)-SUM($F$58:F59)</f>
        <v>-1225000</v>
      </c>
    </row>
    <row r="60" customFormat="false" ht="15" hidden="false" customHeight="false" outlineLevel="0" collapsed="false">
      <c r="D60" s="39" t="s">
        <v>130</v>
      </c>
      <c r="E60" s="40" t="n">
        <f aca="false">SUM(E58:E59)</f>
        <v>0</v>
      </c>
      <c r="F60" s="40" t="n">
        <f aca="false">SUM(F58:F59)</f>
        <v>1225000</v>
      </c>
      <c r="G60" s="41" t="n">
        <f aca="false">E60-F60</f>
        <v>-1225000</v>
      </c>
    </row>
    <row r="62" customFormat="false" ht="15" hidden="false" customHeight="false" outlineLevel="0" collapsed="false">
      <c r="B62" s="36" t="s">
        <v>139</v>
      </c>
      <c r="C62" s="37"/>
      <c r="D62" s="37"/>
      <c r="E62" s="37"/>
      <c r="F62" s="37"/>
      <c r="G62" s="37"/>
    </row>
    <row r="63" customFormat="false" ht="21.75" hidden="false" customHeight="true" outlineLevel="0" collapsed="false">
      <c r="B63" s="11" t="s">
        <v>28</v>
      </c>
      <c r="C63" s="11" t="s">
        <v>85</v>
      </c>
      <c r="D63" s="11" t="s">
        <v>128</v>
      </c>
      <c r="E63" s="11" t="s">
        <v>60</v>
      </c>
      <c r="F63" s="11" t="s">
        <v>69</v>
      </c>
      <c r="G63" s="11" t="s">
        <v>129</v>
      </c>
    </row>
    <row r="64" customFormat="false" ht="15" hidden="false" customHeight="false" outlineLevel="0" collapsed="false">
      <c r="B64" s="12" t="n">
        <f aca="false">'General Journal'!C18</f>
        <v>45853</v>
      </c>
      <c r="C64" s="7" t="str">
        <f aca="false">'General Journal'!D18</f>
        <v>Cost of goods sold</v>
      </c>
      <c r="D64" s="7" t="str">
        <f aca="false">'General Journal'!E19</f>
        <v>Inventory</v>
      </c>
      <c r="E64" s="13" t="n">
        <f aca="false">'General Journal'!F18</f>
        <v>290000</v>
      </c>
      <c r="F64" s="13"/>
      <c r="G64" s="38" t="n">
        <f aca="false">SUM($E$64:E64)-SUM($F$64:F64)</f>
        <v>290000</v>
      </c>
    </row>
    <row r="65" customFormat="false" ht="15" hidden="false" customHeight="false" outlineLevel="0" collapsed="false">
      <c r="B65" s="12" t="n">
        <f aca="false">'General Journal'!C20</f>
        <v>45853</v>
      </c>
      <c r="C65" s="7" t="str">
        <f aca="false">'General Journal'!D20</f>
        <v>Cost of goods sold</v>
      </c>
      <c r="D65" s="7" t="str">
        <f aca="false">'General Journal'!E21</f>
        <v>Inventory</v>
      </c>
      <c r="E65" s="13" t="n">
        <f aca="false">'General Journal'!F20</f>
        <v>200000</v>
      </c>
      <c r="F65" s="13"/>
      <c r="G65" s="38" t="n">
        <f aca="false">SUM($E$64:E65)-SUM($F$64:F65)</f>
        <v>490000</v>
      </c>
    </row>
    <row r="66" customFormat="false" ht="15" hidden="false" customHeight="false" outlineLevel="0" collapsed="false">
      <c r="D66" s="39" t="s">
        <v>130</v>
      </c>
      <c r="E66" s="40" t="n">
        <f aca="false">SUM(E64:E65)</f>
        <v>490000</v>
      </c>
      <c r="F66" s="40" t="n">
        <f aca="false">SUM(F64:F65)</f>
        <v>0</v>
      </c>
      <c r="G66" s="41" t="n">
        <f aca="false">E66-F66</f>
        <v>490000</v>
      </c>
    </row>
    <row r="68" customFormat="false" ht="15" hidden="false" customHeight="false" outlineLevel="0" collapsed="false">
      <c r="B68" s="36" t="s">
        <v>140</v>
      </c>
      <c r="C68" s="37"/>
      <c r="D68" s="37"/>
      <c r="E68" s="37"/>
      <c r="F68" s="37"/>
      <c r="G68" s="37"/>
    </row>
    <row r="69" customFormat="false" ht="21.75" hidden="false" customHeight="true" outlineLevel="0" collapsed="false">
      <c r="B69" s="11" t="s">
        <v>28</v>
      </c>
      <c r="C69" s="11" t="s">
        <v>85</v>
      </c>
      <c r="D69" s="11" t="s">
        <v>128</v>
      </c>
      <c r="E69" s="11" t="s">
        <v>60</v>
      </c>
      <c r="F69" s="11" t="s">
        <v>69</v>
      </c>
      <c r="G69" s="11" t="s">
        <v>129</v>
      </c>
    </row>
    <row r="70" customFormat="false" ht="15" hidden="false" customHeight="false" outlineLevel="0" collapsed="false">
      <c r="B70" s="12" t="n">
        <f aca="false">'General Journal'!C22</f>
        <v>45854</v>
      </c>
      <c r="C70" s="7" t="str">
        <f aca="false">'General Journal'!D22</f>
        <v>Office expenses incurred</v>
      </c>
      <c r="D70" s="7" t="str">
        <f aca="false">'General Journal'!E23</f>
        <v>Bank</v>
      </c>
      <c r="E70" s="13" t="n">
        <f aca="false">'General Journal'!F22</f>
        <v>45000</v>
      </c>
      <c r="F70" s="13"/>
      <c r="G70" s="38" t="n">
        <f aca="false">SUM($E$70:E70)-SUM($F$70:F70)</f>
        <v>45000</v>
      </c>
    </row>
    <row r="71" customFormat="false" ht="15" hidden="false" customHeight="false" outlineLevel="0" collapsed="false">
      <c r="D71" s="39" t="s">
        <v>130</v>
      </c>
      <c r="E71" s="40" t="n">
        <f aca="false">SUM(E70:E70)</f>
        <v>45000</v>
      </c>
      <c r="F71" s="40" t="n">
        <f aca="false">SUM(F70:F70)</f>
        <v>0</v>
      </c>
      <c r="G71" s="41" t="n">
        <f aca="false">E71-F71</f>
        <v>45000</v>
      </c>
    </row>
    <row r="73" customFormat="false" ht="15" hidden="false" customHeight="false" outlineLevel="0" collapsed="false">
      <c r="B73" s="36" t="s">
        <v>141</v>
      </c>
      <c r="C73" s="37"/>
      <c r="D73" s="37"/>
      <c r="E73" s="37"/>
      <c r="F73" s="37"/>
      <c r="G73" s="37"/>
    </row>
    <row r="74" customFormat="false" ht="21.75" hidden="false" customHeight="true" outlineLevel="0" collapsed="false">
      <c r="B74" s="11" t="s">
        <v>28</v>
      </c>
      <c r="C74" s="11" t="s">
        <v>85</v>
      </c>
      <c r="D74" s="11" t="s">
        <v>128</v>
      </c>
      <c r="E74" s="11" t="s">
        <v>60</v>
      </c>
      <c r="F74" s="11" t="s">
        <v>69</v>
      </c>
      <c r="G74" s="11" t="s">
        <v>129</v>
      </c>
    </row>
    <row r="75" customFormat="false" ht="15" hidden="false" customHeight="false" outlineLevel="0" collapsed="false">
      <c r="B75" s="12" t="n">
        <f aca="false">'General Journal'!C24</f>
        <v>45856</v>
      </c>
      <c r="C75" s="7" t="str">
        <f aca="false">'General Journal'!D24</f>
        <v>Entertainment expenses incurred</v>
      </c>
      <c r="D75" s="7" t="str">
        <f aca="false">'General Journal'!E25</f>
        <v>Bank</v>
      </c>
      <c r="E75" s="13" t="n">
        <f aca="false">'General Journal'!F24</f>
        <v>70000</v>
      </c>
      <c r="F75" s="13"/>
      <c r="G75" s="38" t="n">
        <f aca="false">SUM($E$75:E75)-SUM($F$75:F75)</f>
        <v>70000</v>
      </c>
    </row>
    <row r="76" customFormat="false" ht="15" hidden="false" customHeight="false" outlineLevel="0" collapsed="false">
      <c r="D76" s="39" t="s">
        <v>130</v>
      </c>
      <c r="E76" s="40" t="n">
        <f aca="false">SUM(E75:E75)</f>
        <v>70000</v>
      </c>
      <c r="F76" s="40" t="n">
        <f aca="false">SUM(F75:F75)</f>
        <v>0</v>
      </c>
      <c r="G76" s="41" t="n">
        <f aca="false">E76-F76</f>
        <v>70000</v>
      </c>
    </row>
    <row r="78" customFormat="false" ht="15" hidden="false" customHeight="false" outlineLevel="0" collapsed="false">
      <c r="B78" s="36" t="s">
        <v>142</v>
      </c>
      <c r="C78" s="37"/>
      <c r="D78" s="37"/>
      <c r="E78" s="37"/>
      <c r="F78" s="37"/>
      <c r="G78" s="37"/>
    </row>
    <row r="79" customFormat="false" ht="21.75" hidden="false" customHeight="true" outlineLevel="0" collapsed="false">
      <c r="B79" s="11" t="s">
        <v>28</v>
      </c>
      <c r="C79" s="11" t="s">
        <v>85</v>
      </c>
      <c r="D79" s="11" t="s">
        <v>128</v>
      </c>
      <c r="E79" s="11" t="s">
        <v>60</v>
      </c>
      <c r="F79" s="11" t="s">
        <v>69</v>
      </c>
      <c r="G79" s="11" t="s">
        <v>129</v>
      </c>
    </row>
    <row r="80" customFormat="false" ht="15" hidden="false" customHeight="false" outlineLevel="0" collapsed="false">
      <c r="B80" s="12" t="n">
        <f aca="false">'General Journal'!C28</f>
        <v>45870</v>
      </c>
      <c r="C80" s="7" t="str">
        <f aca="false">'General Journal'!D28</f>
        <v>Salary paid</v>
      </c>
      <c r="D80" s="7" t="str">
        <f aca="false">'General Journal'!E29</f>
        <v>Bank</v>
      </c>
      <c r="E80" s="13" t="n">
        <f aca="false">'General Journal'!F28</f>
        <v>110000</v>
      </c>
      <c r="F80" s="13"/>
      <c r="G80" s="38" t="n">
        <f aca="false">SUM($E$80:E80)-SUM($F$80:F80)</f>
        <v>110000</v>
      </c>
    </row>
    <row r="81" customFormat="false" ht="15" hidden="false" customHeight="false" outlineLevel="0" collapsed="false">
      <c r="D81" s="39" t="s">
        <v>130</v>
      </c>
      <c r="E81" s="40" t="n">
        <f aca="false">SUM(E80:E80)</f>
        <v>110000</v>
      </c>
      <c r="F81" s="40" t="n">
        <f aca="false">SUM(F80:F80)</f>
        <v>0</v>
      </c>
      <c r="G81" s="41" t="n">
        <f aca="false">E81-F81</f>
        <v>110000</v>
      </c>
    </row>
    <row r="83" customFormat="false" ht="15" hidden="false" customHeight="false" outlineLevel="0" collapsed="false">
      <c r="B83" s="36" t="s">
        <v>143</v>
      </c>
      <c r="C83" s="37"/>
      <c r="D83" s="37"/>
      <c r="E83" s="37"/>
      <c r="F83" s="37"/>
      <c r="G83" s="37"/>
    </row>
    <row r="84" customFormat="false" ht="21.75" hidden="false" customHeight="true" outlineLevel="0" collapsed="false">
      <c r="B84" s="11" t="s">
        <v>28</v>
      </c>
      <c r="C84" s="11" t="s">
        <v>85</v>
      </c>
      <c r="D84" s="11" t="s">
        <v>128</v>
      </c>
      <c r="E84" s="11" t="s">
        <v>60</v>
      </c>
      <c r="F84" s="11" t="s">
        <v>69</v>
      </c>
      <c r="G84" s="11" t="s">
        <v>129</v>
      </c>
    </row>
    <row r="85" customFormat="false" ht="15" hidden="false" customHeight="false" outlineLevel="0" collapsed="false">
      <c r="B85" s="12" t="n">
        <f aca="false">'General Journal'!C30</f>
        <v>45871</v>
      </c>
      <c r="C85" s="7" t="str">
        <f aca="false">'General Journal'!D30</f>
        <v>Rent paid to Mr. Abbas</v>
      </c>
      <c r="D85" s="7" t="str">
        <f aca="false">'General Journal'!E31</f>
        <v>Bank</v>
      </c>
      <c r="E85" s="13" t="n">
        <f aca="false">'General Journal'!F30</f>
        <v>35000</v>
      </c>
      <c r="F85" s="13"/>
      <c r="G85" s="38" t="n">
        <f aca="false">SUM($E$85:E85)-SUM($F$85:F85)</f>
        <v>35000</v>
      </c>
    </row>
    <row r="86" customFormat="false" ht="15" hidden="false" customHeight="false" outlineLevel="0" collapsed="false">
      <c r="D86" s="39" t="s">
        <v>130</v>
      </c>
      <c r="E86" s="40" t="n">
        <f aca="false">SUM(E85:E85)</f>
        <v>35000</v>
      </c>
      <c r="F86" s="40" t="n">
        <f aca="false">SUM(F85:F85)</f>
        <v>0</v>
      </c>
      <c r="G86" s="41" t="n">
        <f aca="false">E86-F86</f>
        <v>35000</v>
      </c>
    </row>
    <row r="88" customFormat="false" ht="15" hidden="false" customHeight="false" outlineLevel="0" collapsed="false">
      <c r="B88" s="36" t="s">
        <v>144</v>
      </c>
      <c r="C88" s="37"/>
      <c r="D88" s="37"/>
      <c r="E88" s="37"/>
      <c r="F88" s="37"/>
      <c r="G88" s="37"/>
    </row>
    <row r="89" customFormat="false" ht="21.75" hidden="false" customHeight="true" outlineLevel="0" collapsed="false">
      <c r="B89" s="11" t="s">
        <v>28</v>
      </c>
      <c r="C89" s="11" t="s">
        <v>85</v>
      </c>
      <c r="D89" s="11" t="s">
        <v>128</v>
      </c>
      <c r="E89" s="11" t="s">
        <v>60</v>
      </c>
      <c r="F89" s="11" t="s">
        <v>69</v>
      </c>
      <c r="G89" s="11" t="s">
        <v>129</v>
      </c>
    </row>
    <row r="90" customFormat="false" ht="15" hidden="false" customHeight="false" outlineLevel="0" collapsed="false">
      <c r="B90" s="12" t="n">
        <f aca="false">'General Journal'!C32</f>
        <v>46203</v>
      </c>
      <c r="C90" s="7" t="str">
        <f aca="false">'General Journal'!D32</f>
        <v>Income tax provision</v>
      </c>
      <c r="D90" s="7" t="str">
        <f aca="false">'General Journal'!E33</f>
        <v>Income Tax Payable (Govt)</v>
      </c>
      <c r="E90" s="13" t="n">
        <f aca="false">'General Journal'!F32</f>
        <v>142500</v>
      </c>
      <c r="F90" s="13"/>
      <c r="G90" s="38" t="n">
        <f aca="false">SUM($E$90:E90)-SUM($F$90:F90)</f>
        <v>142500</v>
      </c>
    </row>
    <row r="91" customFormat="false" ht="15" hidden="false" customHeight="false" outlineLevel="0" collapsed="false">
      <c r="D91" s="39" t="s">
        <v>130</v>
      </c>
      <c r="E91" s="40" t="n">
        <f aca="false">SUM(E90:E90)</f>
        <v>142500</v>
      </c>
      <c r="F91" s="40" t="n">
        <f aca="false">SUM(F90:F90)</f>
        <v>0</v>
      </c>
      <c r="G91" s="41" t="n">
        <f aca="false">E91-F91</f>
        <v>142500</v>
      </c>
    </row>
  </sheetData>
  <mergeCells count="3">
    <mergeCell ref="B1:G1"/>
    <mergeCell ref="B2:G2"/>
    <mergeCell ref="B3:G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8" min="7" style="0" width="16"/>
  </cols>
  <sheetData>
    <row r="1" customFormat="false" ht="17.35" hidden="false" customHeight="false" outlineLevel="0" collapsed="false">
      <c r="B1" s="15" t="s">
        <v>0</v>
      </c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B2" s="16" t="s">
        <v>20</v>
      </c>
      <c r="C2" s="16"/>
      <c r="D2" s="16"/>
      <c r="E2" s="16"/>
      <c r="F2" s="16"/>
      <c r="G2" s="16"/>
      <c r="H2" s="16"/>
    </row>
    <row r="3" customFormat="false" ht="15" hidden="false" customHeight="false" outlineLevel="0" collapsed="false">
      <c r="B3" s="17" t="s">
        <v>50</v>
      </c>
      <c r="C3" s="17"/>
      <c r="D3" s="17"/>
      <c r="E3" s="17"/>
      <c r="F3" s="17"/>
      <c r="G3" s="17"/>
      <c r="H3" s="17"/>
    </row>
    <row r="5" customFormat="false" ht="21.75" hidden="false" customHeight="true" outlineLevel="0" collapsed="false">
      <c r="B5" s="11" t="s">
        <v>51</v>
      </c>
      <c r="C5" s="11" t="s">
        <v>86</v>
      </c>
      <c r="D5" s="11" t="s">
        <v>53</v>
      </c>
      <c r="E5" s="11" t="s">
        <v>145</v>
      </c>
      <c r="F5" s="11" t="s">
        <v>146</v>
      </c>
      <c r="G5" s="11" t="s">
        <v>147</v>
      </c>
      <c r="H5" s="11" t="s">
        <v>148</v>
      </c>
    </row>
    <row r="6" customFormat="false" ht="15" hidden="false" customHeight="false" outlineLevel="0" collapsed="false">
      <c r="B6" s="9" t="n">
        <f aca="false">'Chart of Accounts'!B6</f>
        <v>1001</v>
      </c>
      <c r="C6" s="7" t="str">
        <f aca="false">'Chart of Accounts'!C6</f>
        <v>Cash in Hand</v>
      </c>
      <c r="D6" s="9" t="str">
        <f aca="false">'Chart of Accounts'!D6</f>
        <v>Asset</v>
      </c>
      <c r="E6" s="13" t="n">
        <f aca="false">SUMIF('General Journal'!$E$6:$E$33,$C6,'General Journal'!$F$6:$F$33)</f>
        <v>5425000</v>
      </c>
      <c r="F6" s="13" t="n">
        <f aca="false">SUMIF('General Journal'!$E$6:$E$33,$C6,'General Journal'!$G$6:$G$33)</f>
        <v>1500000</v>
      </c>
      <c r="G6" s="13" t="n">
        <f aca="false">MAX(E6-F6,0)</f>
        <v>3925000</v>
      </c>
      <c r="H6" s="13" t="n">
        <f aca="false">MAX(F6-E6,0)</f>
        <v>0</v>
      </c>
    </row>
    <row r="7" customFormat="false" ht="15" hidden="false" customHeight="false" outlineLevel="0" collapsed="false">
      <c r="B7" s="9" t="n">
        <f aca="false">'Chart of Accounts'!B7</f>
        <v>1002</v>
      </c>
      <c r="C7" s="7" t="str">
        <f aca="false">'Chart of Accounts'!C7</f>
        <v>Bank</v>
      </c>
      <c r="D7" s="9" t="str">
        <f aca="false">'Chart of Accounts'!D7</f>
        <v>Asset</v>
      </c>
      <c r="E7" s="13" t="n">
        <f aca="false">SUMIF('General Journal'!$E$6:$E$33,$C7,'General Journal'!$F$6:$F$33)</f>
        <v>1500000</v>
      </c>
      <c r="F7" s="13" t="n">
        <f aca="false">SUMIF('General Journal'!$E$6:$E$33,$C7,'General Journal'!$G$6:$G$33)</f>
        <v>1010000</v>
      </c>
      <c r="G7" s="13" t="n">
        <f aca="false">MAX(E7-F7,0)</f>
        <v>490000</v>
      </c>
      <c r="H7" s="13" t="n">
        <f aca="false">MAX(F7-E7,0)</f>
        <v>0</v>
      </c>
    </row>
    <row r="8" customFormat="false" ht="15" hidden="false" customHeight="false" outlineLevel="0" collapsed="false">
      <c r="B8" s="9" t="n">
        <f aca="false">'Chart of Accounts'!B8</f>
        <v>1003</v>
      </c>
      <c r="C8" s="7" t="str">
        <f aca="false">'Chart of Accounts'!C8</f>
        <v>Inventory</v>
      </c>
      <c r="D8" s="9" t="str">
        <f aca="false">'Chart of Accounts'!D8</f>
        <v>Asset</v>
      </c>
      <c r="E8" s="13" t="n">
        <f aca="false">SUMIF('General Journal'!$E$6:$E$33,$C8,'General Journal'!$F$6:$F$33)</f>
        <v>1250000</v>
      </c>
      <c r="F8" s="13" t="n">
        <f aca="false">SUMIF('General Journal'!$E$6:$E$33,$C8,'General Journal'!$G$6:$G$33)</f>
        <v>490000</v>
      </c>
      <c r="G8" s="13" t="n">
        <f aca="false">MAX(E8-F8,0)</f>
        <v>760000</v>
      </c>
      <c r="H8" s="13" t="n">
        <f aca="false">MAX(F8-E8,0)</f>
        <v>0</v>
      </c>
    </row>
    <row r="9" customFormat="false" ht="15" hidden="false" customHeight="false" outlineLevel="0" collapsed="false">
      <c r="B9" s="9" t="n">
        <f aca="false">'Chart of Accounts'!B9</f>
        <v>1004</v>
      </c>
      <c r="C9" s="7" t="str">
        <f aca="false">'Chart of Accounts'!C9</f>
        <v>Accounts Receivable - Mr. Rehman</v>
      </c>
      <c r="D9" s="9" t="str">
        <f aca="false">'Chart of Accounts'!D9</f>
        <v>Asset</v>
      </c>
      <c r="E9" s="13" t="n">
        <f aca="false">SUMIF('General Journal'!$E$6:$E$33,$C9,'General Journal'!$F$6:$F$33)</f>
        <v>800000</v>
      </c>
      <c r="F9" s="13" t="n">
        <f aca="false">SUMIF('General Journal'!$E$6:$E$33,$C9,'General Journal'!$G$6:$G$33)</f>
        <v>0</v>
      </c>
      <c r="G9" s="13" t="n">
        <f aca="false">MAX(E9-F9,0)</f>
        <v>800000</v>
      </c>
      <c r="H9" s="13" t="n">
        <f aca="false">MAX(F9-E9,0)</f>
        <v>0</v>
      </c>
    </row>
    <row r="10" customFormat="false" ht="15" hidden="false" customHeight="false" outlineLevel="0" collapsed="false">
      <c r="B10" s="9" t="n">
        <f aca="false">'Chart of Accounts'!B10</f>
        <v>1101</v>
      </c>
      <c r="C10" s="7" t="str">
        <f aca="false">'Chart of Accounts'!C10</f>
        <v>Computer Equipment</v>
      </c>
      <c r="D10" s="9" t="str">
        <f aca="false">'Chart of Accounts'!D10</f>
        <v>Asset</v>
      </c>
      <c r="E10" s="13" t="n">
        <f aca="false">SUMIF('General Journal'!$E$6:$E$33,$C10,'General Journal'!$F$6:$F$33)</f>
        <v>250000</v>
      </c>
      <c r="F10" s="13" t="n">
        <f aca="false">SUMIF('General Journal'!$E$6:$E$33,$C10,'General Journal'!$G$6:$G$33)</f>
        <v>0</v>
      </c>
      <c r="G10" s="13" t="n">
        <f aca="false">MAX(E10-F10,0)</f>
        <v>250000</v>
      </c>
      <c r="H10" s="13" t="n">
        <f aca="false">MAX(F10-E10,0)</f>
        <v>0</v>
      </c>
    </row>
    <row r="11" customFormat="false" ht="15" hidden="false" customHeight="false" outlineLevel="0" collapsed="false">
      <c r="B11" s="9" t="n">
        <f aca="false">'Chart of Accounts'!B11</f>
        <v>2001</v>
      </c>
      <c r="C11" s="7" t="str">
        <f aca="false">'Chart of Accounts'!C11</f>
        <v>Accounts Payable - Mega Mart</v>
      </c>
      <c r="D11" s="9" t="str">
        <f aca="false">'Chart of Accounts'!D11</f>
        <v>Liability</v>
      </c>
      <c r="E11" s="13" t="n">
        <f aca="false">SUMIF('General Journal'!$E$6:$E$33,$C11,'General Journal'!$F$6:$F$33)</f>
        <v>0</v>
      </c>
      <c r="F11" s="13" t="n">
        <f aca="false">SUMIF('General Journal'!$E$6:$E$33,$C11,'General Journal'!$G$6:$G$33)</f>
        <v>750000</v>
      </c>
      <c r="G11" s="13" t="n">
        <f aca="false">MAX(E11-F11,0)</f>
        <v>0</v>
      </c>
      <c r="H11" s="13" t="n">
        <f aca="false">MAX(F11-E11,0)</f>
        <v>750000</v>
      </c>
    </row>
    <row r="12" customFormat="false" ht="15" hidden="false" customHeight="false" outlineLevel="0" collapsed="false">
      <c r="B12" s="9" t="n">
        <f aca="false">'Chart of Accounts'!B12</f>
        <v>2002</v>
      </c>
      <c r="C12" s="7" t="str">
        <f aca="false">'Chart of Accounts'!C12</f>
        <v>Income Tax Payable (Govt)</v>
      </c>
      <c r="D12" s="9" t="str">
        <f aca="false">'Chart of Accounts'!D12</f>
        <v>Liability</v>
      </c>
      <c r="E12" s="13" t="n">
        <f aca="false">SUMIF('General Journal'!$E$6:$E$33,$C12,'General Journal'!$F$6:$F$33)</f>
        <v>0</v>
      </c>
      <c r="F12" s="13" t="n">
        <f aca="false">SUMIF('General Journal'!$E$6:$E$33,$C12,'General Journal'!$G$6:$G$33)</f>
        <v>142500</v>
      </c>
      <c r="G12" s="13" t="n">
        <f aca="false">MAX(E12-F12,0)</f>
        <v>0</v>
      </c>
      <c r="H12" s="13" t="n">
        <f aca="false">MAX(F12-E12,0)</f>
        <v>142500</v>
      </c>
    </row>
    <row r="13" customFormat="false" ht="15" hidden="false" customHeight="false" outlineLevel="0" collapsed="false">
      <c r="B13" s="9" t="n">
        <f aca="false">'Chart of Accounts'!B13</f>
        <v>3001</v>
      </c>
      <c r="C13" s="7" t="str">
        <f aca="false">'Chart of Accounts'!C13</f>
        <v>Owner's Capital</v>
      </c>
      <c r="D13" s="9" t="str">
        <f aca="false">'Chart of Accounts'!D13</f>
        <v>Equity</v>
      </c>
      <c r="E13" s="13" t="n">
        <f aca="false">SUMIF('General Journal'!$E$6:$E$33,$C13,'General Journal'!$F$6:$F$33)</f>
        <v>0</v>
      </c>
      <c r="F13" s="13" t="n">
        <f aca="false">SUMIF('General Journal'!$E$6:$E$33,$C13,'General Journal'!$G$6:$G$33)</f>
        <v>5000000</v>
      </c>
      <c r="G13" s="13" t="n">
        <f aca="false">MAX(E13-F13,0)</f>
        <v>0</v>
      </c>
      <c r="H13" s="13" t="n">
        <f aca="false">MAX(F13-E13,0)</f>
        <v>5000000</v>
      </c>
    </row>
    <row r="14" customFormat="false" ht="15" hidden="false" customHeight="false" outlineLevel="0" collapsed="false">
      <c r="B14" s="9" t="n">
        <f aca="false">'Chart of Accounts'!B14</f>
        <v>4001</v>
      </c>
      <c r="C14" s="7" t="str">
        <f aca="false">'Chart of Accounts'!C14</f>
        <v>Sales Revenue</v>
      </c>
      <c r="D14" s="9" t="str">
        <f aca="false">'Chart of Accounts'!D14</f>
        <v>Revenue</v>
      </c>
      <c r="E14" s="13" t="n">
        <f aca="false">SUMIF('General Journal'!$E$6:$E$33,$C14,'General Journal'!$F$6:$F$33)</f>
        <v>0</v>
      </c>
      <c r="F14" s="13" t="n">
        <f aca="false">SUMIF('General Journal'!$E$6:$E$33,$C14,'General Journal'!$G$6:$G$33)</f>
        <v>1225000</v>
      </c>
      <c r="G14" s="13" t="n">
        <f aca="false">MAX(E14-F14,0)</f>
        <v>0</v>
      </c>
      <c r="H14" s="13" t="n">
        <f aca="false">MAX(F14-E14,0)</f>
        <v>1225000</v>
      </c>
    </row>
    <row r="15" customFormat="false" ht="15" hidden="false" customHeight="false" outlineLevel="0" collapsed="false">
      <c r="B15" s="9" t="n">
        <f aca="false">'Chart of Accounts'!B15</f>
        <v>5001</v>
      </c>
      <c r="C15" s="7" t="str">
        <f aca="false">'Chart of Accounts'!C15</f>
        <v>Cost of Goods Sold</v>
      </c>
      <c r="D15" s="9" t="str">
        <f aca="false">'Chart of Accounts'!D15</f>
        <v>Expense</v>
      </c>
      <c r="E15" s="13" t="n">
        <f aca="false">SUMIF('General Journal'!$E$6:$E$33,$C15,'General Journal'!$F$6:$F$33)</f>
        <v>490000</v>
      </c>
      <c r="F15" s="13" t="n">
        <f aca="false">SUMIF('General Journal'!$E$6:$E$33,$C15,'General Journal'!$G$6:$G$33)</f>
        <v>0</v>
      </c>
      <c r="G15" s="13" t="n">
        <f aca="false">MAX(E15-F15,0)</f>
        <v>490000</v>
      </c>
      <c r="H15" s="13" t="n">
        <f aca="false">MAX(F15-E15,0)</f>
        <v>0</v>
      </c>
    </row>
    <row r="16" customFormat="false" ht="15" hidden="false" customHeight="false" outlineLevel="0" collapsed="false">
      <c r="B16" s="9" t="n">
        <f aca="false">'Chart of Accounts'!B16</f>
        <v>5002</v>
      </c>
      <c r="C16" s="7" t="str">
        <f aca="false">'Chart of Accounts'!C16</f>
        <v>Office Expenses</v>
      </c>
      <c r="D16" s="9" t="str">
        <f aca="false">'Chart of Accounts'!D16</f>
        <v>Expense</v>
      </c>
      <c r="E16" s="13" t="n">
        <f aca="false">SUMIF('General Journal'!$E$6:$E$33,$C16,'General Journal'!$F$6:$F$33)</f>
        <v>45000</v>
      </c>
      <c r="F16" s="13" t="n">
        <f aca="false">SUMIF('General Journal'!$E$6:$E$33,$C16,'General Journal'!$G$6:$G$33)</f>
        <v>0</v>
      </c>
      <c r="G16" s="13" t="n">
        <f aca="false">MAX(E16-F16,0)</f>
        <v>45000</v>
      </c>
      <c r="H16" s="13" t="n">
        <f aca="false">MAX(F16-E16,0)</f>
        <v>0</v>
      </c>
    </row>
    <row r="17" customFormat="false" ht="15" hidden="false" customHeight="false" outlineLevel="0" collapsed="false">
      <c r="B17" s="9" t="n">
        <f aca="false">'Chart of Accounts'!B17</f>
        <v>5003</v>
      </c>
      <c r="C17" s="7" t="str">
        <f aca="false">'Chart of Accounts'!C17</f>
        <v>Entertainment Expenses</v>
      </c>
      <c r="D17" s="9" t="str">
        <f aca="false">'Chart of Accounts'!D17</f>
        <v>Expense</v>
      </c>
      <c r="E17" s="13" t="n">
        <f aca="false">SUMIF('General Journal'!$E$6:$E$33,$C17,'General Journal'!$F$6:$F$33)</f>
        <v>70000</v>
      </c>
      <c r="F17" s="13" t="n">
        <f aca="false">SUMIF('General Journal'!$E$6:$E$33,$C17,'General Journal'!$G$6:$G$33)</f>
        <v>0</v>
      </c>
      <c r="G17" s="13" t="n">
        <f aca="false">MAX(E17-F17,0)</f>
        <v>70000</v>
      </c>
      <c r="H17" s="13" t="n">
        <f aca="false">MAX(F17-E17,0)</f>
        <v>0</v>
      </c>
    </row>
    <row r="18" customFormat="false" ht="15" hidden="false" customHeight="false" outlineLevel="0" collapsed="false">
      <c r="B18" s="9" t="n">
        <f aca="false">'Chart of Accounts'!B18</f>
        <v>5004</v>
      </c>
      <c r="C18" s="7" t="str">
        <f aca="false">'Chart of Accounts'!C18</f>
        <v>Salary Expense</v>
      </c>
      <c r="D18" s="9" t="str">
        <f aca="false">'Chart of Accounts'!D18</f>
        <v>Expense</v>
      </c>
      <c r="E18" s="13" t="n">
        <f aca="false">SUMIF('General Journal'!$E$6:$E$33,$C18,'General Journal'!$F$6:$F$33)</f>
        <v>110000</v>
      </c>
      <c r="F18" s="13" t="n">
        <f aca="false">SUMIF('General Journal'!$E$6:$E$33,$C18,'General Journal'!$G$6:$G$33)</f>
        <v>0</v>
      </c>
      <c r="G18" s="13" t="n">
        <f aca="false">MAX(E18-F18,0)</f>
        <v>110000</v>
      </c>
      <c r="H18" s="13" t="n">
        <f aca="false">MAX(F18-E18,0)</f>
        <v>0</v>
      </c>
    </row>
    <row r="19" customFormat="false" ht="15" hidden="false" customHeight="false" outlineLevel="0" collapsed="false">
      <c r="B19" s="9" t="n">
        <f aca="false">'Chart of Accounts'!B19</f>
        <v>5005</v>
      </c>
      <c r="C19" s="7" t="str">
        <f aca="false">'Chart of Accounts'!C19</f>
        <v>Rent Expense</v>
      </c>
      <c r="D19" s="9" t="str">
        <f aca="false">'Chart of Accounts'!D19</f>
        <v>Expense</v>
      </c>
      <c r="E19" s="13" t="n">
        <f aca="false">SUMIF('General Journal'!$E$6:$E$33,$C19,'General Journal'!$F$6:$F$33)</f>
        <v>35000</v>
      </c>
      <c r="F19" s="13" t="n">
        <f aca="false">SUMIF('General Journal'!$E$6:$E$33,$C19,'General Journal'!$G$6:$G$33)</f>
        <v>0</v>
      </c>
      <c r="G19" s="13" t="n">
        <f aca="false">MAX(E19-F19,0)</f>
        <v>35000</v>
      </c>
      <c r="H19" s="13" t="n">
        <f aca="false">MAX(F19-E19,0)</f>
        <v>0</v>
      </c>
    </row>
    <row r="20" customFormat="false" ht="15" hidden="false" customHeight="false" outlineLevel="0" collapsed="false">
      <c r="B20" s="9" t="n">
        <f aca="false">'Chart of Accounts'!B20</f>
        <v>5006</v>
      </c>
      <c r="C20" s="7" t="str">
        <f aca="false">'Chart of Accounts'!C20</f>
        <v>Income Tax Expense</v>
      </c>
      <c r="D20" s="9" t="str">
        <f aca="false">'Chart of Accounts'!D20</f>
        <v>Expense</v>
      </c>
      <c r="E20" s="13" t="n">
        <f aca="false">SUMIF('General Journal'!$E$6:$E$33,$C20,'General Journal'!$F$6:$F$33)</f>
        <v>142500</v>
      </c>
      <c r="F20" s="13" t="n">
        <f aca="false">SUMIF('General Journal'!$E$6:$E$33,$C20,'General Journal'!$G$6:$G$33)</f>
        <v>0</v>
      </c>
      <c r="G20" s="13" t="n">
        <f aca="false">MAX(E20-F20,0)</f>
        <v>142500</v>
      </c>
      <c r="H20" s="13" t="n">
        <f aca="false">MAX(F20-E20,0)</f>
        <v>0</v>
      </c>
    </row>
    <row r="21" customFormat="false" ht="15" hidden="false" customHeight="false" outlineLevel="0" collapsed="false">
      <c r="C21" s="31" t="s">
        <v>123</v>
      </c>
      <c r="E21" s="32" t="n">
        <f aca="false">SUM(E6:E20)</f>
        <v>10117500</v>
      </c>
      <c r="F21" s="32" t="n">
        <f aca="false">SUM(F6:F20)</f>
        <v>10117500</v>
      </c>
      <c r="G21" s="32" t="n">
        <f aca="false">SUM(G6:G20)</f>
        <v>7117500</v>
      </c>
      <c r="H21" s="32" t="n">
        <f aca="false">SUM(H6:H20)</f>
        <v>7117500</v>
      </c>
    </row>
    <row r="22" customFormat="false" ht="15" hidden="false" customHeight="false" outlineLevel="0" collapsed="false">
      <c r="C22" s="33" t="s">
        <v>149</v>
      </c>
      <c r="H22" s="34" t="n">
        <f aca="false">G21-H21</f>
        <v>0</v>
      </c>
    </row>
  </sheetData>
  <mergeCells count="3">
    <mergeCell ref="B1:H1"/>
    <mergeCell ref="B2:H2"/>
    <mergeCell ref="B3:H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4" min="3" style="0" width="16"/>
  </cols>
  <sheetData>
    <row r="1" customFormat="false" ht="17.35" hidden="false" customHeight="false" outlineLevel="0" collapsed="false">
      <c r="B1" s="15" t="s">
        <v>0</v>
      </c>
      <c r="C1" s="15"/>
      <c r="D1" s="15"/>
    </row>
    <row r="2" customFormat="false" ht="15" hidden="false" customHeight="false" outlineLevel="0" collapsed="false">
      <c r="B2" s="16" t="s">
        <v>22</v>
      </c>
      <c r="C2" s="16"/>
      <c r="D2" s="16"/>
    </row>
    <row r="3" customFormat="false" ht="15" hidden="false" customHeight="false" outlineLevel="0" collapsed="false">
      <c r="B3" s="17" t="s">
        <v>50</v>
      </c>
      <c r="C3" s="17"/>
      <c r="D3" s="17"/>
    </row>
    <row r="5" customFormat="false" ht="21.75" hidden="false" customHeight="true" outlineLevel="0" collapsed="false">
      <c r="B5" s="42" t="s">
        <v>150</v>
      </c>
      <c r="C5" s="42" t="s">
        <v>151</v>
      </c>
      <c r="D5" s="42" t="s">
        <v>151</v>
      </c>
    </row>
    <row r="6" customFormat="false" ht="15" hidden="false" customHeight="false" outlineLevel="0" collapsed="false">
      <c r="B6" s="43" t="s">
        <v>6</v>
      </c>
      <c r="D6" s="44" t="n">
        <f aca="false">SUMIF('Trial Balance'!$C$6:$C$20,$B6,'Trial Balance'!$H$6:$H$20)-SUMIF('Trial Balance'!$C$6:$C$20,$B6,'Trial Balance'!$G$6:$G$20)</f>
        <v>1225000</v>
      </c>
    </row>
    <row r="7" customFormat="false" ht="15" hidden="false" customHeight="false" outlineLevel="0" collapsed="false">
      <c r="B7" s="43" t="s">
        <v>74</v>
      </c>
      <c r="D7" s="44" t="n">
        <f aca="false">-(SUMIF('Trial Balance'!$C$6:$C$20,$B7,'Trial Balance'!$G$6:$G$20)-SUMIF('Trial Balance'!$C$6:$C$20,$B7,'Trial Balance'!$H$6:$H$20))</f>
        <v>-490000</v>
      </c>
    </row>
    <row r="8" customFormat="false" ht="15" hidden="false" customHeight="false" outlineLevel="0" collapsed="false">
      <c r="B8" s="45" t="s">
        <v>7</v>
      </c>
      <c r="C8" s="37"/>
      <c r="D8" s="46" t="n">
        <f aca="false">D6+D7</f>
        <v>735000</v>
      </c>
    </row>
    <row r="10" customFormat="false" ht="15" hidden="false" customHeight="false" outlineLevel="0" collapsed="false">
      <c r="B10" s="31" t="s">
        <v>78</v>
      </c>
    </row>
    <row r="11" customFormat="false" ht="15" hidden="false" customHeight="false" outlineLevel="0" collapsed="false">
      <c r="B11" s="47" t="s">
        <v>77</v>
      </c>
      <c r="C11" s="44" t="n">
        <f aca="false">SUMIF('Trial Balance'!$C$6:$C$20,$B11,'Trial Balance'!$G$6:$G$20)-SUMIF('Trial Balance'!$C$6:$C$20,$B11,'Trial Balance'!$H$6:$H$20)</f>
        <v>45000</v>
      </c>
    </row>
    <row r="12" customFormat="false" ht="15" hidden="false" customHeight="false" outlineLevel="0" collapsed="false">
      <c r="B12" s="47" t="s">
        <v>81</v>
      </c>
      <c r="C12" s="44" t="n">
        <f aca="false">SUMIF('Trial Balance'!$C$6:$C$20,$B12,'Trial Balance'!$G$6:$G$20)-SUMIF('Trial Balance'!$C$6:$C$20,$B12,'Trial Balance'!$H$6:$H$20)</f>
        <v>35000</v>
      </c>
    </row>
    <row r="13" customFormat="false" ht="15" hidden="false" customHeight="false" outlineLevel="0" collapsed="false">
      <c r="B13" s="47" t="s">
        <v>80</v>
      </c>
      <c r="C13" s="44" t="n">
        <f aca="false">SUMIF('Trial Balance'!$C$6:$C$20,$B13,'Trial Balance'!$G$6:$G$20)-SUMIF('Trial Balance'!$C$6:$C$20,$B13,'Trial Balance'!$H$6:$H$20)</f>
        <v>110000</v>
      </c>
    </row>
    <row r="14" customFormat="false" ht="15" hidden="false" customHeight="false" outlineLevel="0" collapsed="false">
      <c r="B14" s="47" t="s">
        <v>79</v>
      </c>
      <c r="C14" s="44" t="n">
        <f aca="false">SUMIF('Trial Balance'!$C$6:$C$20,$B14,'Trial Balance'!$G$6:$G$20)-SUMIF('Trial Balance'!$C$6:$C$20,$B14,'Trial Balance'!$H$6:$H$20)</f>
        <v>70000</v>
      </c>
    </row>
    <row r="15" customFormat="false" ht="15" hidden="false" customHeight="false" outlineLevel="0" collapsed="false">
      <c r="B15" s="31" t="s">
        <v>152</v>
      </c>
      <c r="D15" s="40" t="n">
        <f aca="false">-SUM(C11:C14)</f>
        <v>-260000</v>
      </c>
    </row>
    <row r="16" customFormat="false" ht="15" hidden="false" customHeight="false" outlineLevel="0" collapsed="false">
      <c r="B16" s="45" t="s">
        <v>153</v>
      </c>
      <c r="C16" s="37"/>
      <c r="D16" s="48" t="n">
        <f aca="false">D8+D15</f>
        <v>475000</v>
      </c>
    </row>
    <row r="17" customFormat="false" ht="15" hidden="false" customHeight="false" outlineLevel="0" collapsed="false">
      <c r="B17" s="43" t="s">
        <v>154</v>
      </c>
      <c r="C17" s="49" t="n">
        <v>0.3</v>
      </c>
      <c r="D17" s="44" t="n">
        <f aca="false">-ROUND(D16*C17,0)</f>
        <v>-142500</v>
      </c>
    </row>
    <row r="18" customFormat="false" ht="15" hidden="false" customHeight="false" outlineLevel="0" collapsed="false">
      <c r="B18" s="45" t="s">
        <v>155</v>
      </c>
      <c r="C18" s="37"/>
      <c r="D18" s="50" t="n">
        <f aca="false">D16+D17</f>
        <v>332500</v>
      </c>
    </row>
    <row r="20" customFormat="false" ht="15" hidden="false" customHeight="false" outlineLevel="0" collapsed="false">
      <c r="B20" s="51" t="s">
        <v>156</v>
      </c>
      <c r="D20" s="52" t="n">
        <f aca="false">-D17-(SUMIF('Trial Balance'!$C$6:$C$20,"Income Tax Expense",'Trial Balance'!$G$6:$G$20)-SUMIF('Trial Balance'!$C$6:$C$20,"Income Tax Expense",'Trial Balance'!$H$6:$H$20))</f>
        <v>0</v>
      </c>
    </row>
    <row r="21" customFormat="false" ht="15" hidden="false" customHeight="false" outlineLevel="0" collapsed="false">
      <c r="B21" s="35" t="s">
        <v>157</v>
      </c>
    </row>
  </sheetData>
  <mergeCells count="3">
    <mergeCell ref="B1:D1"/>
    <mergeCell ref="B2:D2"/>
    <mergeCell ref="B3:D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4" min="3" style="0" width="16"/>
  </cols>
  <sheetData>
    <row r="1" customFormat="false" ht="17.35" hidden="false" customHeight="false" outlineLevel="0" collapsed="false">
      <c r="B1" s="15" t="s">
        <v>0</v>
      </c>
      <c r="C1" s="15"/>
      <c r="D1" s="15"/>
    </row>
    <row r="2" customFormat="false" ht="15" hidden="false" customHeight="false" outlineLevel="0" collapsed="false">
      <c r="B2" s="16" t="s">
        <v>24</v>
      </c>
      <c r="C2" s="16"/>
      <c r="D2" s="16"/>
    </row>
    <row r="3" customFormat="false" ht="15" hidden="false" customHeight="false" outlineLevel="0" collapsed="false">
      <c r="B3" s="17" t="s">
        <v>158</v>
      </c>
      <c r="C3" s="17"/>
      <c r="D3" s="17"/>
    </row>
    <row r="5" customFormat="false" ht="21.75" hidden="false" customHeight="true" outlineLevel="0" collapsed="false">
      <c r="B5" s="42" t="s">
        <v>150</v>
      </c>
      <c r="C5" s="42" t="s">
        <v>151</v>
      </c>
      <c r="D5" s="42" t="s">
        <v>151</v>
      </c>
    </row>
    <row r="6" customFormat="false" ht="15" hidden="false" customHeight="false" outlineLevel="0" collapsed="false">
      <c r="B6" s="31" t="s">
        <v>159</v>
      </c>
    </row>
    <row r="7" customFormat="false" ht="15" hidden="false" customHeight="false" outlineLevel="0" collapsed="false">
      <c r="B7" s="53" t="s">
        <v>65</v>
      </c>
    </row>
    <row r="8" customFormat="false" ht="15" hidden="false" customHeight="false" outlineLevel="0" collapsed="false">
      <c r="B8" s="54" t="s">
        <v>64</v>
      </c>
      <c r="C8" s="44" t="n">
        <f aca="false">SUMIF('Trial Balance'!$C$6:$C$20,$B8,'Trial Balance'!$G$6:$G$20)-SUMIF('Trial Balance'!$C$6:$C$20,$B8,'Trial Balance'!$H$6:$H$20)</f>
        <v>250000</v>
      </c>
    </row>
    <row r="9" customFormat="false" ht="15" hidden="false" customHeight="false" outlineLevel="0" collapsed="false">
      <c r="B9" s="31" t="s">
        <v>160</v>
      </c>
      <c r="D9" s="40" t="n">
        <f aca="false">C8</f>
        <v>250000</v>
      </c>
    </row>
    <row r="10" customFormat="false" ht="15" hidden="false" customHeight="false" outlineLevel="0" collapsed="false">
      <c r="B10" s="53" t="s">
        <v>59</v>
      </c>
    </row>
    <row r="11" customFormat="false" ht="15" hidden="false" customHeight="false" outlineLevel="0" collapsed="false">
      <c r="B11" s="54" t="s">
        <v>57</v>
      </c>
      <c r="C11" s="44" t="n">
        <f aca="false">SUMIF('Trial Balance'!$C$6:$C$20,$B11,'Trial Balance'!$G$6:$G$20)-SUMIF('Trial Balance'!$C$6:$C$20,$B11,'Trial Balance'!$H$6:$H$20)</f>
        <v>3925000</v>
      </c>
    </row>
    <row r="12" customFormat="false" ht="15" hidden="false" customHeight="false" outlineLevel="0" collapsed="false">
      <c r="B12" s="54" t="s">
        <v>61</v>
      </c>
      <c r="C12" s="44" t="n">
        <f aca="false">SUMIF('Trial Balance'!$C$6:$C$20,$B12,'Trial Balance'!$G$6:$G$20)-SUMIF('Trial Balance'!$C$6:$C$20,$B12,'Trial Balance'!$H$6:$H$20)</f>
        <v>490000</v>
      </c>
    </row>
    <row r="13" customFormat="false" ht="15" hidden="false" customHeight="false" outlineLevel="0" collapsed="false">
      <c r="B13" s="54" t="s">
        <v>62</v>
      </c>
      <c r="C13" s="44" t="n">
        <f aca="false">SUMIF('Trial Balance'!$C$6:$C$20,$B13,'Trial Balance'!$G$6:$G$20)-SUMIF('Trial Balance'!$C$6:$C$20,$B13,'Trial Balance'!$H$6:$H$20)</f>
        <v>760000</v>
      </c>
    </row>
    <row r="14" customFormat="false" ht="15" hidden="false" customHeight="false" outlineLevel="0" collapsed="false">
      <c r="B14" s="54" t="s">
        <v>63</v>
      </c>
      <c r="C14" s="44" t="n">
        <f aca="false">SUMIF('Trial Balance'!$C$6:$C$20,$B14,'Trial Balance'!$G$6:$G$20)-SUMIF('Trial Balance'!$C$6:$C$20,$B14,'Trial Balance'!$H$6:$H$20)</f>
        <v>800000</v>
      </c>
    </row>
    <row r="15" customFormat="false" ht="15" hidden="false" customHeight="false" outlineLevel="0" collapsed="false">
      <c r="B15" s="31" t="s">
        <v>161</v>
      </c>
      <c r="D15" s="40" t="n">
        <f aca="false">SUM(C11:C14)</f>
        <v>5975000</v>
      </c>
    </row>
    <row r="16" customFormat="false" ht="15" hidden="false" customHeight="false" outlineLevel="0" collapsed="false">
      <c r="B16" s="45" t="s">
        <v>162</v>
      </c>
      <c r="C16" s="37"/>
      <c r="D16" s="50" t="n">
        <f aca="false">D9+D15</f>
        <v>6225000</v>
      </c>
    </row>
    <row r="18" customFormat="false" ht="15" hidden="false" customHeight="false" outlineLevel="0" collapsed="false">
      <c r="B18" s="31" t="s">
        <v>163</v>
      </c>
    </row>
    <row r="19" customFormat="false" ht="15" hidden="false" customHeight="false" outlineLevel="0" collapsed="false">
      <c r="B19" s="53" t="s">
        <v>68</v>
      </c>
    </row>
    <row r="20" customFormat="false" ht="15" hidden="false" customHeight="false" outlineLevel="0" collapsed="false">
      <c r="B20" s="54" t="s">
        <v>66</v>
      </c>
      <c r="C20" s="44" t="n">
        <f aca="false">SUMIF('Trial Balance'!$C$6:$C$20,$B20,'Trial Balance'!$H$6:$H$20)-SUMIF('Trial Balance'!$C$6:$C$20,$B20,'Trial Balance'!$G$6:$G$20)</f>
        <v>750000</v>
      </c>
    </row>
    <row r="21" customFormat="false" ht="15" hidden="false" customHeight="false" outlineLevel="0" collapsed="false">
      <c r="B21" s="54" t="s">
        <v>70</v>
      </c>
      <c r="C21" s="44" t="n">
        <f aca="false">SUMIF('Trial Balance'!$C$6:$C$20,$B21,'Trial Balance'!$H$6:$H$20)-SUMIF('Trial Balance'!$C$6:$C$20,$B21,'Trial Balance'!$G$6:$G$20)</f>
        <v>142500</v>
      </c>
    </row>
    <row r="22" customFormat="false" ht="15" hidden="false" customHeight="false" outlineLevel="0" collapsed="false">
      <c r="B22" s="31" t="s">
        <v>164</v>
      </c>
      <c r="D22" s="40" t="n">
        <f aca="false">SUM(C20:C21)</f>
        <v>892500</v>
      </c>
    </row>
    <row r="23" customFormat="false" ht="15" hidden="false" customHeight="false" outlineLevel="0" collapsed="false">
      <c r="B23" s="53" t="s">
        <v>72</v>
      </c>
    </row>
    <row r="24" customFormat="false" ht="15" hidden="false" customHeight="false" outlineLevel="0" collapsed="false">
      <c r="B24" s="54" t="s">
        <v>71</v>
      </c>
      <c r="C24" s="44" t="n">
        <f aca="false">SUMIF('Trial Balance'!$C$6:$C$20,$B24,'Trial Balance'!$H$6:$H$20)-SUMIF('Trial Balance'!$C$6:$C$20,$B24,'Trial Balance'!$G$6:$G$20)</f>
        <v>5000000</v>
      </c>
    </row>
    <row r="25" customFormat="false" ht="15" hidden="false" customHeight="false" outlineLevel="0" collapsed="false">
      <c r="B25" s="54" t="s">
        <v>155</v>
      </c>
      <c r="C25" s="44" t="n">
        <f aca="false">'Income Statement'!D18</f>
        <v>332500</v>
      </c>
    </row>
    <row r="26" customFormat="false" ht="15" hidden="false" customHeight="false" outlineLevel="0" collapsed="false">
      <c r="B26" s="31" t="s">
        <v>165</v>
      </c>
      <c r="D26" s="40" t="n">
        <f aca="false">SUM(C24:C25)</f>
        <v>5332500</v>
      </c>
    </row>
    <row r="27" customFormat="false" ht="15" hidden="false" customHeight="false" outlineLevel="0" collapsed="false">
      <c r="B27" s="45" t="s">
        <v>166</v>
      </c>
      <c r="C27" s="37"/>
      <c r="D27" s="50" t="n">
        <f aca="false">D22+D26</f>
        <v>6225000</v>
      </c>
    </row>
    <row r="29" customFormat="false" ht="15" hidden="false" customHeight="false" outlineLevel="0" collapsed="false">
      <c r="B29" s="51" t="s">
        <v>167</v>
      </c>
      <c r="D29" s="52" t="n">
        <f aca="false">D16-D27</f>
        <v>0</v>
      </c>
    </row>
  </sheetData>
  <mergeCells count="3">
    <mergeCell ref="B1:D1"/>
    <mergeCell ref="B2:D2"/>
    <mergeCell ref="B3:D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2026-10-28T10:05:23Z</dcterms:created>
  <dc:creator>openpyxl</dc:creator>
  <dc:description/>
  <dc:language>en-US</dc:language>
  <cp:lastModifiedBy/>
  <dcterms:modified xsi:type="dcterms:W3CDTF">2026-10-28T10:05:23Z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